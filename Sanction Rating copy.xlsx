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1.xml" ContentType="application/vnd.openxmlformats-officedocument.spreadsheetml.comments+xml"/>
  <Override PartName="/xl/tables/table7.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ericfreudenthaler/Desktop/Master Thesis/DATA/"/>
    </mc:Choice>
  </mc:AlternateContent>
  <xr:revisionPtr revIDLastSave="0" documentId="8_{69574FA3-8E2D-6C43-AD7B-7CEE1A50135D}" xr6:coauthVersionLast="47" xr6:coauthVersionMax="47" xr10:uidLastSave="{00000000-0000-0000-0000-000000000000}"/>
  <bookViews>
    <workbookView xWindow="1220" yWindow="8180" windowWidth="29400" windowHeight="17360" xr2:uid="{EC172DB1-6AF5-B649-A609-C7BDF6FFB3B4}"/>
  </bookViews>
  <sheets>
    <sheet name="Firms" sheetId="1" r:id="rId1"/>
    <sheet name="Definitions" sheetId="2" r:id="rId2"/>
    <sheet name="EU Sanctions Classification" sheetId="7" r:id="rId3"/>
    <sheet name="US Sanction Classification " sheetId="9" r:id="rId4"/>
    <sheet name="UK Sanction Classification"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2" i="1" l="1" a="1"/>
  <c r="F2" i="1" s="1"/>
  <c r="G2" i="1" s="1" a="1"/>
  <c r="G2" i="1" s="1"/>
  <c r="F3" i="1" a="1"/>
  <c r="F3" i="1" s="1"/>
  <c r="G3" i="1" s="1" a="1"/>
  <c r="G3" i="1" s="1"/>
  <c r="F4" i="1" a="1"/>
  <c r="F4" i="1" s="1"/>
  <c r="G4" i="1" s="1" a="1"/>
  <c r="G4" i="1" s="1"/>
  <c r="F5" i="1" a="1"/>
  <c r="F5" i="1" s="1"/>
  <c r="G5" i="1" s="1" a="1"/>
  <c r="G5" i="1" s="1"/>
  <c r="F6" i="1" a="1"/>
  <c r="F6" i="1" s="1"/>
  <c r="G6" i="1" s="1" a="1"/>
  <c r="G6" i="1" s="1"/>
  <c r="F7" i="1" a="1"/>
  <c r="F7" i="1" s="1"/>
  <c r="G7" i="1" s="1" a="1"/>
  <c r="G7" i="1" s="1"/>
  <c r="F8" i="1" a="1"/>
  <c r="F8" i="1" s="1"/>
  <c r="G8" i="1" s="1" a="1"/>
  <c r="G8" i="1" s="1"/>
  <c r="F9" i="1" a="1"/>
  <c r="F9" i="1" s="1"/>
  <c r="G9" i="1" s="1" a="1"/>
  <c r="G9" i="1" s="1"/>
  <c r="F10" i="1" a="1"/>
  <c r="F10" i="1" s="1"/>
  <c r="G10" i="1" s="1" a="1"/>
  <c r="G10" i="1" s="1"/>
  <c r="F11" i="1" a="1"/>
  <c r="F11" i="1" s="1"/>
  <c r="G11" i="1" s="1" a="1"/>
  <c r="G11" i="1" s="1"/>
  <c r="F12" i="1" a="1"/>
  <c r="F12" i="1" s="1"/>
  <c r="G12" i="1" s="1" a="1"/>
  <c r="G12" i="1" s="1"/>
  <c r="F13" i="1" a="1"/>
  <c r="F13" i="1"/>
  <c r="G13" i="1" s="1" a="1"/>
  <c r="G13" i="1" s="1"/>
  <c r="F14" i="1" a="1"/>
  <c r="F14" i="1" s="1"/>
  <c r="G14" i="1" s="1" a="1"/>
  <c r="G14" i="1" s="1"/>
  <c r="F15" i="1" a="1"/>
  <c r="F15" i="1" s="1"/>
  <c r="G15" i="1" s="1" a="1"/>
  <c r="G15" i="1" s="1"/>
  <c r="F16" i="1" a="1"/>
  <c r="F16" i="1" s="1"/>
  <c r="G16" i="1" s="1" a="1"/>
  <c r="G16" i="1" s="1"/>
  <c r="F17" i="1" a="1"/>
  <c r="F17" i="1" s="1"/>
  <c r="G17" i="1" s="1" a="1"/>
  <c r="G17" i="1" s="1"/>
  <c r="F18" i="1" a="1"/>
  <c r="F18" i="1" s="1"/>
  <c r="G18" i="1" s="1" a="1"/>
  <c r="G18" i="1" s="1"/>
  <c r="F19" i="1" a="1"/>
  <c r="F19" i="1" s="1"/>
  <c r="G19" i="1" s="1" a="1"/>
  <c r="G19" i="1" s="1"/>
  <c r="F20" i="1" a="1"/>
  <c r="F20" i="1" s="1"/>
  <c r="G20" i="1" s="1" a="1"/>
  <c r="G20" i="1" s="1"/>
  <c r="F21" i="1" a="1"/>
  <c r="F21" i="1" s="1"/>
  <c r="G21" i="1" s="1" a="1"/>
  <c r="G21" i="1" s="1"/>
  <c r="F22" i="1" a="1"/>
  <c r="F22" i="1" s="1"/>
  <c r="G22" i="1" s="1" a="1"/>
  <c r="G22" i="1" s="1"/>
  <c r="F23" i="1" a="1"/>
  <c r="F23" i="1" s="1"/>
  <c r="G23" i="1" s="1" a="1"/>
  <c r="G23" i="1" s="1"/>
  <c r="F24" i="1" a="1"/>
  <c r="F24" i="1" s="1"/>
  <c r="G24" i="1" s="1" a="1"/>
  <c r="G24" i="1" s="1"/>
  <c r="F25" i="1" a="1"/>
  <c r="F25" i="1" s="1"/>
  <c r="G25" i="1" s="1" a="1"/>
  <c r="G25" i="1" s="1"/>
  <c r="F26" i="1" a="1"/>
  <c r="F26" i="1" s="1"/>
  <c r="G26" i="1" s="1" a="1"/>
  <c r="G26" i="1" s="1"/>
  <c r="F27" i="1" a="1"/>
  <c r="F27" i="1" s="1"/>
  <c r="G27" i="1" s="1" a="1"/>
  <c r="G27" i="1" s="1"/>
  <c r="F28" i="1" a="1"/>
  <c r="F28" i="1" s="1"/>
  <c r="G28" i="1" s="1" a="1"/>
  <c r="G28" i="1" s="1"/>
  <c r="F29" i="1" a="1"/>
  <c r="F29" i="1" s="1"/>
  <c r="G29" i="1" s="1" a="1"/>
  <c r="G29" i="1" s="1"/>
  <c r="F30" i="1" a="1"/>
  <c r="F30" i="1" s="1"/>
  <c r="G30" i="1" s="1" a="1"/>
  <c r="G30" i="1" s="1"/>
  <c r="F31" i="1" a="1"/>
  <c r="F31" i="1" s="1"/>
  <c r="G31" i="1" s="1" a="1"/>
  <c r="G31" i="1" s="1"/>
  <c r="F32" i="1" a="1"/>
  <c r="F32" i="1" s="1"/>
  <c r="G32" i="1" s="1" a="1"/>
  <c r="G32" i="1" s="1"/>
  <c r="F33" i="1" a="1"/>
  <c r="F33" i="1" s="1"/>
  <c r="G33" i="1" s="1" a="1"/>
  <c r="G33" i="1" s="1"/>
  <c r="F34" i="1" a="1"/>
  <c r="F34" i="1" s="1"/>
  <c r="G34" i="1" s="1" a="1"/>
  <c r="G34" i="1" s="1"/>
  <c r="F35" i="1" a="1"/>
  <c r="F35" i="1" s="1"/>
  <c r="G35" i="1" s="1" a="1"/>
  <c r="G35" i="1" s="1"/>
  <c r="F36" i="1" a="1"/>
  <c r="F36" i="1" s="1"/>
  <c r="G36" i="1" s="1" a="1"/>
  <c r="G36" i="1" s="1"/>
  <c r="F37" i="1" a="1"/>
  <c r="F37" i="1" s="1"/>
  <c r="G37" i="1" s="1" a="1"/>
  <c r="G37" i="1" s="1"/>
  <c r="F38" i="1" a="1"/>
  <c r="F38" i="1" s="1"/>
  <c r="G38" i="1" s="1" a="1"/>
  <c r="G38" i="1" s="1"/>
  <c r="F39" i="1" a="1"/>
  <c r="F39" i="1" s="1"/>
  <c r="G39" i="1" s="1" a="1"/>
  <c r="G39" i="1" s="1"/>
  <c r="F40" i="1" a="1"/>
  <c r="F40" i="1" s="1"/>
  <c r="G40" i="1" s="1" a="1"/>
  <c r="G40" i="1" s="1"/>
  <c r="F41" i="1" a="1"/>
  <c r="F41" i="1" s="1"/>
  <c r="G41" i="1" s="1" a="1"/>
  <c r="G41" i="1" s="1"/>
  <c r="F42" i="1" a="1"/>
  <c r="F42" i="1" s="1"/>
  <c r="G42" i="1" s="1" a="1"/>
  <c r="G42" i="1" s="1"/>
  <c r="F43" i="1" a="1"/>
  <c r="F43" i="1"/>
  <c r="G43" i="1" s="1" a="1"/>
  <c r="G43" i="1" s="1"/>
  <c r="F44" i="1" a="1"/>
  <c r="F44" i="1"/>
  <c r="G44" i="1" s="1" a="1"/>
  <c r="G44" i="1" s="1"/>
  <c r="F45" i="1" a="1"/>
  <c r="F45" i="1" s="1"/>
  <c r="G45" i="1" s="1" a="1"/>
  <c r="G45" i="1" s="1"/>
  <c r="F46" i="1" a="1"/>
  <c r="F46" i="1" s="1"/>
  <c r="G46" i="1" s="1" a="1"/>
  <c r="G46" i="1" s="1"/>
  <c r="F47" i="1" a="1"/>
  <c r="F47" i="1" s="1"/>
  <c r="G47" i="1" s="1" a="1"/>
  <c r="G47" i="1" s="1"/>
  <c r="F48" i="1" a="1"/>
  <c r="F48" i="1" s="1"/>
  <c r="G48" i="1" s="1" a="1"/>
  <c r="G48" i="1" s="1"/>
  <c r="F49" i="1" a="1"/>
  <c r="F49" i="1" s="1"/>
  <c r="G49" i="1" s="1" a="1"/>
  <c r="G49" i="1" s="1"/>
  <c r="F50" i="1" a="1"/>
  <c r="F50" i="1" s="1"/>
  <c r="G50" i="1" s="1" a="1"/>
  <c r="G50" i="1" s="1"/>
  <c r="F51" i="1" a="1"/>
  <c r="F51" i="1" s="1"/>
  <c r="G51" i="1" s="1" a="1"/>
  <c r="G51" i="1" s="1"/>
  <c r="F52" i="1" a="1"/>
  <c r="F52" i="1" s="1"/>
  <c r="G52" i="1" s="1" a="1"/>
  <c r="G52" i="1" s="1"/>
  <c r="F53" i="1" a="1"/>
  <c r="F53" i="1" s="1"/>
  <c r="G53" i="1" s="1" a="1"/>
  <c r="G53" i="1" s="1"/>
  <c r="F54" i="1" a="1"/>
  <c r="F54" i="1" s="1"/>
  <c r="G54" i="1" s="1" a="1"/>
  <c r="G54" i="1" s="1"/>
  <c r="F55" i="1" a="1"/>
  <c r="F55" i="1" s="1"/>
  <c r="G55" i="1" s="1" a="1"/>
  <c r="G55" i="1" s="1"/>
  <c r="F56" i="1" a="1"/>
  <c r="F56" i="1" s="1"/>
  <c r="G56" i="1" s="1" a="1"/>
  <c r="G56" i="1" s="1"/>
  <c r="F57" i="1" a="1"/>
  <c r="F57" i="1" s="1"/>
  <c r="G57" i="1" s="1" a="1"/>
  <c r="G57" i="1" s="1"/>
  <c r="F58" i="1" a="1"/>
  <c r="F58" i="1" s="1"/>
  <c r="G58" i="1" s="1" a="1"/>
  <c r="G58" i="1" s="1"/>
  <c r="F59" i="1" a="1"/>
  <c r="F59" i="1" s="1"/>
  <c r="G59" i="1" s="1" a="1"/>
  <c r="G59" i="1" s="1"/>
  <c r="F60" i="1" a="1"/>
  <c r="F60" i="1" s="1"/>
  <c r="G60" i="1" s="1" a="1"/>
  <c r="G60" i="1" s="1"/>
  <c r="F61" i="1" a="1"/>
  <c r="F61" i="1" s="1"/>
  <c r="G61" i="1" s="1" a="1"/>
  <c r="G61" i="1" s="1"/>
  <c r="F62" i="1" a="1"/>
  <c r="F62" i="1" s="1"/>
  <c r="G62" i="1" s="1" a="1"/>
  <c r="G62" i="1" s="1"/>
  <c r="F63" i="1" a="1"/>
  <c r="F63" i="1" s="1"/>
  <c r="G63" i="1" s="1" a="1"/>
  <c r="G63" i="1" s="1"/>
  <c r="F64" i="1" a="1"/>
  <c r="F64" i="1" s="1"/>
  <c r="G64" i="1" s="1" a="1"/>
  <c r="G64" i="1" s="1"/>
  <c r="F65" i="1" a="1"/>
  <c r="F65" i="1" s="1"/>
  <c r="G65" i="1" s="1" a="1"/>
  <c r="G65" i="1" s="1"/>
  <c r="F66" i="1" a="1"/>
  <c r="F66" i="1" s="1"/>
  <c r="G66" i="1" s="1" a="1"/>
  <c r="G66" i="1" s="1"/>
  <c r="F67" i="1" a="1"/>
  <c r="F67" i="1" s="1"/>
  <c r="G67" i="1" s="1" a="1"/>
  <c r="G67" i="1" s="1"/>
  <c r="F68" i="1" a="1"/>
  <c r="F68" i="1"/>
  <c r="G68" i="1" s="1" a="1"/>
  <c r="G68" i="1" s="1"/>
  <c r="F69" i="1" a="1"/>
  <c r="F69" i="1"/>
  <c r="G69" i="1" s="1" a="1"/>
  <c r="G69" i="1" s="1"/>
  <c r="F70" i="1" a="1"/>
  <c r="F70" i="1" s="1"/>
  <c r="G70" i="1" s="1" a="1"/>
  <c r="G70" i="1" s="1"/>
  <c r="F71" i="1" a="1"/>
  <c r="F71" i="1" s="1"/>
  <c r="G71" i="1" s="1" a="1"/>
  <c r="G71" i="1" s="1"/>
  <c r="F72" i="1" a="1"/>
  <c r="F72" i="1" s="1"/>
  <c r="G72" i="1" s="1" a="1"/>
  <c r="G72" i="1" s="1"/>
  <c r="F73" i="1" a="1"/>
  <c r="F73" i="1" s="1"/>
  <c r="G73" i="1" s="1" a="1"/>
  <c r="G73" i="1" s="1"/>
  <c r="F74" i="1" a="1"/>
  <c r="F74" i="1" s="1"/>
  <c r="G74" i="1" s="1" a="1"/>
  <c r="G74" i="1" s="1"/>
  <c r="F75" i="1" a="1"/>
  <c r="F75" i="1"/>
  <c r="G75" i="1" s="1" a="1"/>
  <c r="G75" i="1" s="1"/>
  <c r="F76" i="1" a="1"/>
  <c r="F76" i="1" s="1"/>
  <c r="G76" i="1" s="1" a="1"/>
  <c r="G76" i="1" s="1"/>
  <c r="F77" i="1" a="1"/>
  <c r="F77" i="1" s="1"/>
  <c r="G77" i="1" s="1" a="1"/>
  <c r="G77" i="1" s="1"/>
  <c r="F78" i="1" a="1"/>
  <c r="F78" i="1" s="1"/>
  <c r="G78" i="1" s="1" a="1"/>
  <c r="G78" i="1" s="1"/>
  <c r="F79" i="1" a="1"/>
  <c r="F79" i="1" s="1"/>
  <c r="G79" i="1" s="1" a="1"/>
  <c r="G79" i="1" s="1"/>
  <c r="F80" i="1" a="1"/>
  <c r="F80" i="1" s="1"/>
  <c r="G80" i="1" s="1" a="1"/>
  <c r="G80" i="1" s="1"/>
  <c r="F81" i="1" a="1"/>
  <c r="F81" i="1" s="1"/>
  <c r="G81" i="1" s="1" a="1"/>
  <c r="G81" i="1" s="1"/>
  <c r="F82" i="1" a="1"/>
  <c r="F82" i="1" s="1"/>
  <c r="G82" i="1" s="1" a="1"/>
  <c r="G82" i="1" s="1"/>
  <c r="F83" i="1" a="1"/>
  <c r="F83" i="1" s="1"/>
  <c r="G83" i="1" s="1" a="1"/>
  <c r="G83" i="1" s="1"/>
  <c r="F84" i="1" a="1"/>
  <c r="F84" i="1" s="1"/>
  <c r="G84" i="1" s="1" a="1"/>
  <c r="G84" i="1" s="1"/>
  <c r="F85" i="1" a="1"/>
  <c r="F85" i="1" s="1"/>
  <c r="G85" i="1" s="1" a="1"/>
  <c r="G85" i="1" s="1"/>
  <c r="F86" i="1" a="1"/>
  <c r="F86" i="1" s="1"/>
  <c r="G86" i="1" s="1" a="1"/>
  <c r="G86" i="1" s="1"/>
  <c r="F87" i="1" a="1"/>
  <c r="F87" i="1" s="1"/>
  <c r="G87" i="1" s="1" a="1"/>
  <c r="G87" i="1" s="1"/>
  <c r="F88" i="1" a="1"/>
  <c r="F88" i="1"/>
  <c r="G88" i="1" s="1" a="1"/>
  <c r="G88" i="1" s="1"/>
  <c r="F89" i="1" a="1"/>
  <c r="F89" i="1" s="1"/>
  <c r="G89" i="1" s="1" a="1"/>
  <c r="G89" i="1" s="1"/>
  <c r="F90" i="1" a="1"/>
  <c r="F90" i="1" s="1"/>
  <c r="G90" i="1" s="1" a="1"/>
  <c r="G90" i="1" s="1"/>
  <c r="F91" i="1" a="1"/>
  <c r="F91" i="1" s="1"/>
  <c r="G91" i="1" s="1" a="1"/>
  <c r="G91" i="1" s="1"/>
  <c r="F92" i="1" a="1"/>
  <c r="F92" i="1" s="1"/>
  <c r="G92" i="1" s="1" a="1"/>
  <c r="G92" i="1" s="1"/>
  <c r="F93" i="1" a="1"/>
  <c r="F93" i="1" s="1"/>
  <c r="G93" i="1" s="1" a="1"/>
  <c r="G93" i="1" s="1"/>
  <c r="F94" i="1" a="1"/>
  <c r="F94" i="1" s="1"/>
  <c r="G94" i="1" s="1" a="1"/>
  <c r="G94" i="1" s="1"/>
  <c r="F95" i="1" a="1"/>
  <c r="F95" i="1" s="1"/>
  <c r="G95" i="1" s="1" a="1"/>
  <c r="G95" i="1" s="1"/>
  <c r="F96" i="1" a="1"/>
  <c r="F96" i="1" s="1"/>
  <c r="G96" i="1" s="1" a="1"/>
  <c r="G96" i="1" s="1"/>
  <c r="F97" i="1" a="1"/>
  <c r="F97" i="1" s="1"/>
  <c r="G97" i="1" s="1" a="1"/>
  <c r="G97" i="1" s="1"/>
  <c r="F98" i="1" a="1"/>
  <c r="F98" i="1" s="1"/>
  <c r="G98" i="1" s="1" a="1"/>
  <c r="G98" i="1" s="1"/>
  <c r="F99" i="1" a="1"/>
  <c r="F99" i="1" s="1"/>
  <c r="G99" i="1" s="1" a="1"/>
  <c r="G99" i="1" s="1"/>
  <c r="F100" i="1" a="1"/>
  <c r="F100" i="1" s="1"/>
  <c r="G100" i="1" s="1" a="1"/>
  <c r="G100" i="1" s="1"/>
  <c r="F101" i="1" a="1"/>
  <c r="F101" i="1" s="1"/>
  <c r="G101" i="1" s="1" a="1"/>
  <c r="G101" i="1" s="1"/>
  <c r="F102" i="1" a="1"/>
  <c r="F102" i="1" s="1"/>
  <c r="G102" i="1" s="1" a="1"/>
  <c r="G102" i="1" s="1"/>
  <c r="F103" i="1" a="1"/>
  <c r="F103" i="1" s="1"/>
  <c r="G103" i="1" s="1" a="1"/>
  <c r="G103" i="1" s="1"/>
  <c r="F104" i="1" a="1"/>
  <c r="F104" i="1" s="1"/>
  <c r="G104" i="1" s="1" a="1"/>
  <c r="G104" i="1" s="1"/>
  <c r="F105" i="1" a="1"/>
  <c r="F105" i="1" s="1"/>
  <c r="G105" i="1" s="1" a="1"/>
  <c r="G105" i="1" s="1"/>
  <c r="F106" i="1" a="1"/>
  <c r="F106" i="1" s="1"/>
  <c r="G106" i="1" s="1" a="1"/>
  <c r="G106" i="1" s="1"/>
  <c r="F107" i="1" a="1"/>
  <c r="F107" i="1" s="1"/>
  <c r="G107" i="1" s="1" a="1"/>
  <c r="G107" i="1" s="1"/>
  <c r="F108" i="1" a="1"/>
  <c r="F108" i="1" s="1"/>
  <c r="G108" i="1" s="1" a="1"/>
  <c r="G108" i="1" s="1"/>
  <c r="F109" i="1" a="1"/>
  <c r="F109" i="1" s="1"/>
  <c r="G109" i="1" s="1" a="1"/>
  <c r="G109" i="1" s="1"/>
  <c r="F110" i="1" a="1"/>
  <c r="F110" i="1"/>
  <c r="G110" i="1" s="1" a="1"/>
  <c r="G110" i="1" s="1"/>
  <c r="F111" i="1" a="1"/>
  <c r="F111" i="1" s="1"/>
  <c r="G111" i="1" s="1" a="1"/>
  <c r="G111" i="1" s="1"/>
  <c r="F112" i="1" a="1"/>
  <c r="F112" i="1" s="1"/>
  <c r="G112" i="1" s="1" a="1"/>
  <c r="G112" i="1" s="1"/>
  <c r="F113" i="1" a="1"/>
  <c r="F113" i="1" s="1"/>
  <c r="G113" i="1" s="1" a="1"/>
  <c r="G113" i="1" s="1"/>
  <c r="F114" i="1" a="1"/>
  <c r="F114" i="1" s="1"/>
  <c r="G114" i="1" s="1" a="1"/>
  <c r="G114" i="1" s="1"/>
  <c r="F115" i="1" a="1"/>
  <c r="F115" i="1" s="1"/>
  <c r="G115" i="1" s="1" a="1"/>
  <c r="G115" i="1" s="1"/>
  <c r="F116" i="1" a="1"/>
  <c r="F116" i="1" s="1"/>
  <c r="G116" i="1" s="1" a="1"/>
  <c r="G116" i="1" s="1"/>
  <c r="F117" i="1" a="1"/>
  <c r="F117" i="1" s="1"/>
  <c r="G117" i="1" s="1" a="1"/>
  <c r="G117" i="1" s="1"/>
  <c r="F118" i="1" a="1"/>
  <c r="F118" i="1" s="1"/>
  <c r="G118" i="1" s="1" a="1"/>
  <c r="G118" i="1" s="1"/>
  <c r="F119" i="1" a="1"/>
  <c r="F119" i="1" s="1"/>
  <c r="G119" i="1" s="1" a="1"/>
  <c r="G119" i="1" s="1"/>
  <c r="F120" i="1" a="1"/>
  <c r="F120" i="1" s="1"/>
  <c r="G120" i="1" s="1" a="1"/>
  <c r="G120" i="1" s="1"/>
  <c r="F121" i="1" a="1"/>
  <c r="F121" i="1" s="1"/>
  <c r="G121" i="1" s="1" a="1"/>
  <c r="G121" i="1" s="1"/>
  <c r="F122" i="1" a="1"/>
  <c r="F122" i="1" s="1"/>
  <c r="G122" i="1" s="1" a="1"/>
  <c r="G122" i="1" s="1"/>
  <c r="F123" i="1" a="1"/>
  <c r="F123" i="1" s="1"/>
  <c r="G123" i="1" s="1" a="1"/>
  <c r="G123" i="1" s="1"/>
  <c r="F124" i="1" a="1"/>
  <c r="F124" i="1" s="1"/>
  <c r="G124" i="1" s="1" a="1"/>
  <c r="G124" i="1" s="1"/>
  <c r="F125" i="1" a="1"/>
  <c r="F125" i="1" s="1"/>
  <c r="G125" i="1" s="1" a="1"/>
  <c r="G125" i="1" s="1"/>
  <c r="F126" i="1" a="1"/>
  <c r="F126" i="1" s="1"/>
  <c r="G126" i="1" s="1" a="1"/>
  <c r="G126" i="1" s="1"/>
  <c r="F127" i="1" a="1"/>
  <c r="F127" i="1" s="1"/>
  <c r="G127" i="1" s="1" a="1"/>
  <c r="G127" i="1" s="1"/>
  <c r="F128" i="1" a="1"/>
  <c r="F128" i="1" s="1"/>
  <c r="G128" i="1" s="1" a="1"/>
  <c r="G128" i="1" s="1"/>
  <c r="F129" i="1" a="1"/>
  <c r="F129" i="1" s="1"/>
  <c r="G129" i="1" s="1" a="1"/>
  <c r="G129" i="1" s="1"/>
  <c r="F130" i="1" a="1"/>
  <c r="F130" i="1" s="1"/>
  <c r="G130" i="1" s="1" a="1"/>
  <c r="G130" i="1" s="1"/>
  <c r="F131" i="1" a="1"/>
  <c r="F131" i="1" s="1"/>
  <c r="G131" i="1" s="1" a="1"/>
  <c r="G131" i="1" s="1"/>
  <c r="F132" i="1" a="1"/>
  <c r="F132" i="1" s="1"/>
  <c r="G132" i="1" s="1" a="1"/>
  <c r="G132" i="1" s="1"/>
  <c r="F133" i="1" a="1"/>
  <c r="F133" i="1" s="1"/>
  <c r="G133" i="1" s="1" a="1"/>
  <c r="G133" i="1" s="1"/>
  <c r="F134" i="1" a="1"/>
  <c r="F134" i="1" s="1"/>
  <c r="G134" i="1" s="1" a="1"/>
  <c r="G134" i="1" s="1"/>
  <c r="F135" i="1" a="1"/>
  <c r="F135" i="1"/>
  <c r="G135" i="1" s="1" a="1"/>
  <c r="G135" i="1" s="1"/>
  <c r="F136" i="1" a="1"/>
  <c r="F136" i="1" s="1"/>
  <c r="G136" i="1" s="1" a="1"/>
  <c r="G136" i="1" s="1"/>
  <c r="F137" i="1" a="1"/>
  <c r="F137" i="1" s="1"/>
  <c r="G137" i="1" s="1" a="1"/>
  <c r="G137" i="1" s="1"/>
  <c r="F138" i="1" a="1"/>
  <c r="F138" i="1" s="1"/>
  <c r="G138" i="1" s="1" a="1"/>
  <c r="G138" i="1" s="1"/>
  <c r="F139" i="1" a="1"/>
  <c r="F139" i="1" s="1"/>
  <c r="G139" i="1" s="1" a="1"/>
  <c r="G139" i="1" s="1"/>
  <c r="F140" i="1" a="1"/>
  <c r="F140" i="1" s="1"/>
  <c r="G140" i="1" s="1" a="1"/>
  <c r="G140" i="1" s="1"/>
  <c r="F141" i="1" a="1"/>
  <c r="F141" i="1" s="1"/>
  <c r="G141" i="1" s="1" a="1"/>
  <c r="G141" i="1" s="1"/>
  <c r="F142" i="1" a="1"/>
  <c r="F142" i="1" s="1"/>
  <c r="G142" i="1" s="1" a="1"/>
  <c r="G142" i="1" s="1"/>
  <c r="F143" i="1" a="1"/>
  <c r="F143" i="1"/>
  <c r="G143" i="1" s="1" a="1"/>
  <c r="G143" i="1" s="1"/>
  <c r="F144" i="1" a="1"/>
  <c r="F144" i="1" s="1"/>
  <c r="G144" i="1" s="1" a="1"/>
  <c r="G144" i="1" s="1"/>
  <c r="F145" i="1" a="1"/>
  <c r="F145" i="1" s="1"/>
  <c r="G145" i="1" s="1" a="1"/>
  <c r="G145" i="1" s="1"/>
  <c r="F146" i="1" a="1"/>
  <c r="F146" i="1" s="1"/>
  <c r="G146" i="1" s="1" a="1"/>
  <c r="G146" i="1" s="1"/>
  <c r="F147" i="1" a="1"/>
  <c r="F147" i="1" s="1"/>
  <c r="G147" i="1" s="1" a="1"/>
  <c r="G147" i="1" s="1"/>
  <c r="F148" i="1" a="1"/>
  <c r="F148" i="1" s="1"/>
  <c r="G148" i="1" s="1" a="1"/>
  <c r="G148" i="1" s="1"/>
  <c r="F149" i="1" a="1"/>
  <c r="F149" i="1" s="1"/>
  <c r="G149" i="1" s="1" a="1"/>
  <c r="G149" i="1" s="1"/>
  <c r="F150" i="1" a="1"/>
  <c r="F150" i="1"/>
  <c r="G150" i="1" s="1" a="1"/>
  <c r="G150" i="1" s="1"/>
  <c r="F151" i="1" a="1"/>
  <c r="F151" i="1" s="1"/>
  <c r="G151" i="1" s="1" a="1"/>
  <c r="G151" i="1" s="1"/>
  <c r="F152" i="1" a="1"/>
  <c r="F152" i="1" s="1"/>
  <c r="G152" i="1" s="1" a="1"/>
  <c r="G152" i="1" s="1"/>
  <c r="F153" i="1" a="1"/>
  <c r="F153" i="1" s="1"/>
  <c r="G153" i="1" s="1" a="1"/>
  <c r="G153" i="1" s="1"/>
  <c r="F154" i="1" a="1"/>
  <c r="F154" i="1" s="1"/>
  <c r="G154" i="1" s="1" a="1"/>
  <c r="G154" i="1" s="1"/>
  <c r="F155" i="1" a="1"/>
  <c r="F155" i="1" s="1"/>
  <c r="G155" i="1" s="1" a="1"/>
  <c r="G155" i="1" s="1"/>
  <c r="F156" i="1" a="1"/>
  <c r="F156" i="1" s="1"/>
  <c r="G156" i="1" s="1" a="1"/>
  <c r="G156" i="1" s="1"/>
  <c r="F157" i="1" a="1"/>
  <c r="F157" i="1" s="1"/>
  <c r="G157" i="1" s="1" a="1"/>
  <c r="G157" i="1" s="1"/>
  <c r="F158" i="1" a="1"/>
  <c r="F158" i="1" s="1"/>
  <c r="G158" i="1" s="1" a="1"/>
  <c r="G158" i="1" s="1"/>
  <c r="F159" i="1" a="1"/>
  <c r="F159" i="1" s="1"/>
  <c r="G159" i="1" s="1" a="1"/>
  <c r="G159" i="1" s="1"/>
  <c r="F160" i="1" a="1"/>
  <c r="F160" i="1" s="1"/>
  <c r="G160" i="1" s="1" a="1"/>
  <c r="G160" i="1" s="1"/>
  <c r="F161" i="1" a="1"/>
  <c r="F161" i="1" s="1"/>
  <c r="G161" i="1" s="1" a="1"/>
  <c r="G161" i="1" s="1"/>
  <c r="F162" i="1" a="1"/>
  <c r="F162" i="1" s="1"/>
  <c r="G162" i="1" s="1" a="1"/>
  <c r="G162" i="1" s="1"/>
  <c r="F163" i="1" a="1"/>
  <c r="F163" i="1" s="1"/>
  <c r="G163" i="1" s="1" a="1"/>
  <c r="G163" i="1" s="1"/>
  <c r="F164" i="1" a="1"/>
  <c r="F164" i="1" s="1"/>
  <c r="G164" i="1" s="1" a="1"/>
  <c r="G164" i="1" s="1"/>
  <c r="F165" i="1" a="1"/>
  <c r="F165" i="1" s="1"/>
  <c r="G165" i="1" s="1" a="1"/>
  <c r="G165" i="1" s="1"/>
  <c r="F166" i="1" a="1"/>
  <c r="F166" i="1" s="1"/>
  <c r="G166" i="1" s="1" a="1"/>
  <c r="G166" i="1" s="1"/>
  <c r="F167" i="1" a="1"/>
  <c r="F167" i="1" s="1"/>
  <c r="G167" i="1" s="1" a="1"/>
  <c r="G167" i="1" s="1"/>
  <c r="F168" i="1" a="1"/>
  <c r="F168" i="1" s="1"/>
  <c r="G168" i="1" s="1" a="1"/>
  <c r="G168" i="1" s="1"/>
  <c r="F169" i="1" a="1"/>
  <c r="F169" i="1" s="1"/>
  <c r="G169" i="1" s="1" a="1"/>
  <c r="G169" i="1" s="1"/>
  <c r="F170" i="1" a="1"/>
  <c r="F170" i="1" s="1"/>
  <c r="G170" i="1" s="1" a="1"/>
  <c r="G170" i="1" s="1"/>
  <c r="F171" i="1" a="1"/>
  <c r="F171" i="1" s="1"/>
  <c r="G171" i="1" s="1" a="1"/>
  <c r="G171" i="1" s="1"/>
  <c r="F172" i="1" a="1"/>
  <c r="F172" i="1" s="1"/>
  <c r="G172" i="1" s="1" a="1"/>
  <c r="G172" i="1" s="1"/>
  <c r="F173" i="1" a="1"/>
  <c r="F173" i="1"/>
  <c r="G173" i="1" s="1" a="1"/>
  <c r="G173" i="1" s="1"/>
  <c r="F174" i="1" a="1"/>
  <c r="F174" i="1" s="1"/>
  <c r="G174" i="1" s="1" a="1"/>
  <c r="G174" i="1" s="1"/>
  <c r="F175" i="1" a="1"/>
  <c r="F175" i="1" s="1"/>
  <c r="G175" i="1" s="1" a="1"/>
  <c r="G175" i="1" s="1"/>
  <c r="F176" i="1" a="1"/>
  <c r="F176" i="1" s="1"/>
  <c r="G176" i="1" s="1" a="1"/>
  <c r="G176" i="1" s="1"/>
  <c r="F177" i="1" a="1"/>
  <c r="F177" i="1" s="1"/>
  <c r="G177" i="1" s="1" a="1"/>
  <c r="G177" i="1" s="1"/>
  <c r="F178" i="1" a="1"/>
  <c r="F178" i="1" s="1"/>
  <c r="G178" i="1" s="1" a="1"/>
  <c r="G178" i="1" s="1"/>
  <c r="F179" i="1" a="1"/>
  <c r="F179" i="1" s="1"/>
  <c r="G179" i="1" s="1" a="1"/>
  <c r="G179" i="1" s="1"/>
  <c r="F180" i="1" a="1"/>
  <c r="F180" i="1" s="1"/>
  <c r="G180" i="1" s="1" a="1"/>
  <c r="G180" i="1" s="1"/>
  <c r="F181" i="1" a="1"/>
  <c r="F181" i="1" s="1"/>
  <c r="G181" i="1" s="1" a="1"/>
  <c r="G181" i="1" s="1"/>
  <c r="F182" i="1" a="1"/>
  <c r="F182" i="1" s="1"/>
  <c r="G182" i="1" s="1" a="1"/>
  <c r="G182" i="1" s="1"/>
  <c r="F183" i="1" a="1"/>
  <c r="F183" i="1" s="1"/>
  <c r="G183" i="1" s="1" a="1"/>
  <c r="G183" i="1" s="1"/>
  <c r="F184" i="1" a="1"/>
  <c r="F184" i="1" s="1"/>
  <c r="G184" i="1" s="1" a="1"/>
  <c r="G184" i="1" s="1"/>
  <c r="F185" i="1" a="1"/>
  <c r="F185" i="1" s="1"/>
  <c r="G185" i="1" s="1" a="1"/>
  <c r="G185" i="1" s="1"/>
  <c r="F186" i="1" a="1"/>
  <c r="F186" i="1" s="1"/>
  <c r="G186" i="1" s="1" a="1"/>
  <c r="G186" i="1" s="1"/>
  <c r="F187" i="1" a="1"/>
  <c r="F187" i="1" s="1"/>
  <c r="G187" i="1" s="1" a="1"/>
  <c r="G187" i="1" s="1"/>
  <c r="F188" i="1" a="1"/>
  <c r="F188" i="1" s="1"/>
  <c r="G188" i="1" s="1" a="1"/>
  <c r="G188" i="1" s="1"/>
  <c r="F189" i="1" a="1"/>
  <c r="F189" i="1" s="1"/>
  <c r="G189" i="1" s="1" a="1"/>
  <c r="G189" i="1" s="1"/>
  <c r="F190" i="1" a="1"/>
  <c r="F190" i="1" s="1"/>
  <c r="G190" i="1" s="1" a="1"/>
  <c r="G190" i="1" s="1"/>
  <c r="F191" i="1" a="1"/>
  <c r="F191" i="1" s="1"/>
  <c r="G191" i="1" s="1" a="1"/>
  <c r="G191" i="1" s="1"/>
  <c r="F192" i="1" a="1"/>
  <c r="F192" i="1" s="1"/>
  <c r="G192" i="1" s="1" a="1"/>
  <c r="G192" i="1" s="1"/>
  <c r="F193" i="1" a="1"/>
  <c r="F193" i="1" s="1"/>
  <c r="G193" i="1" s="1" a="1"/>
  <c r="G193" i="1" s="1"/>
  <c r="F194" i="1" a="1"/>
  <c r="F194" i="1" s="1"/>
  <c r="G194" i="1" s="1" a="1"/>
  <c r="G194" i="1" s="1"/>
  <c r="F195" i="1" a="1"/>
  <c r="F195" i="1" s="1"/>
  <c r="G195" i="1" s="1" a="1"/>
  <c r="G195" i="1" s="1"/>
  <c r="F196" i="1" a="1"/>
  <c r="F196" i="1" s="1"/>
  <c r="G196" i="1" s="1" a="1"/>
  <c r="G196" i="1" s="1"/>
  <c r="F197" i="1" a="1"/>
  <c r="F197" i="1" s="1"/>
  <c r="G197" i="1" s="1" a="1"/>
  <c r="G197" i="1" s="1"/>
  <c r="F198" i="1" a="1"/>
  <c r="F198" i="1" s="1"/>
  <c r="G198" i="1" s="1" a="1"/>
  <c r="G198" i="1" s="1"/>
  <c r="F199" i="1" a="1"/>
  <c r="F199" i="1" s="1"/>
  <c r="G199" i="1" s="1" a="1"/>
  <c r="G199" i="1" s="1"/>
  <c r="F200" i="1" a="1"/>
  <c r="F200" i="1" s="1"/>
  <c r="G200" i="1" s="1" a="1"/>
  <c r="G200" i="1" s="1"/>
  <c r="F201" i="1" a="1"/>
  <c r="F201" i="1" s="1"/>
  <c r="G201" i="1" s="1" a="1"/>
  <c r="G201" i="1" s="1"/>
  <c r="F202" i="1" a="1"/>
  <c r="F202" i="1" s="1"/>
  <c r="G202" i="1" s="1" a="1"/>
  <c r="G202" i="1" s="1"/>
  <c r="F203" i="1" a="1"/>
  <c r="F203" i="1" s="1"/>
  <c r="G203" i="1" s="1" a="1"/>
  <c r="G203" i="1" s="1"/>
  <c r="F204" i="1" a="1"/>
  <c r="F204" i="1"/>
  <c r="G204" i="1" s="1" a="1"/>
  <c r="G204" i="1" s="1"/>
  <c r="F205" i="1" a="1"/>
  <c r="F205" i="1" s="1"/>
  <c r="G205" i="1" s="1" a="1"/>
  <c r="G205" i="1" s="1"/>
  <c r="F206" i="1" a="1"/>
  <c r="F206" i="1" s="1"/>
  <c r="G206" i="1" s="1" a="1"/>
  <c r="G206" i="1" s="1"/>
  <c r="F207" i="1" a="1"/>
  <c r="F207" i="1" s="1"/>
  <c r="G207" i="1" s="1" a="1"/>
  <c r="G207" i="1" s="1"/>
  <c r="F208" i="1" a="1"/>
  <c r="F208" i="1" s="1"/>
  <c r="G208" i="1" s="1" a="1"/>
  <c r="G208" i="1" s="1"/>
  <c r="F209" i="1" a="1"/>
  <c r="F209" i="1" s="1"/>
  <c r="G209" i="1" s="1" a="1"/>
  <c r="G209" i="1" s="1"/>
  <c r="F210" i="1" a="1"/>
  <c r="F210" i="1" s="1"/>
  <c r="G210" i="1" s="1" a="1"/>
  <c r="G210" i="1" s="1"/>
  <c r="F211" i="1" a="1"/>
  <c r="F211" i="1" s="1"/>
  <c r="G211" i="1" s="1" a="1"/>
  <c r="G211" i="1" s="1"/>
  <c r="F212" i="1" a="1"/>
  <c r="F212" i="1" s="1"/>
  <c r="G212" i="1" s="1" a="1"/>
  <c r="G212" i="1" s="1"/>
  <c r="F213" i="1" a="1"/>
  <c r="F213" i="1" s="1"/>
  <c r="G213" i="1" s="1" a="1"/>
  <c r="G213" i="1" s="1"/>
  <c r="F214" i="1" a="1"/>
  <c r="F214" i="1" s="1"/>
  <c r="G214" i="1" s="1" a="1"/>
  <c r="G214" i="1" s="1"/>
  <c r="F215" i="1" a="1"/>
  <c r="F215" i="1" s="1"/>
  <c r="G215" i="1" s="1" a="1"/>
  <c r="G215" i="1" s="1"/>
  <c r="F216" i="1" a="1"/>
  <c r="F216" i="1" s="1"/>
  <c r="G216" i="1" s="1" a="1"/>
  <c r="G216" i="1" s="1"/>
  <c r="F217" i="1" a="1"/>
  <c r="F217" i="1" s="1"/>
  <c r="G217" i="1" s="1" a="1"/>
  <c r="G217" i="1" s="1"/>
  <c r="F218" i="1" a="1"/>
  <c r="F218" i="1" s="1"/>
  <c r="G218" i="1" s="1" a="1"/>
  <c r="G218" i="1" s="1"/>
  <c r="F219" i="1" a="1"/>
  <c r="F219" i="1"/>
  <c r="G219" i="1" s="1" a="1"/>
  <c r="G219" i="1" s="1"/>
  <c r="F220" i="1" a="1"/>
  <c r="F220" i="1" s="1"/>
  <c r="G220" i="1" s="1" a="1"/>
  <c r="G220" i="1" s="1"/>
  <c r="F221" i="1" a="1"/>
  <c r="F221" i="1" s="1"/>
  <c r="G221" i="1" s="1" a="1"/>
  <c r="G221" i="1" s="1"/>
  <c r="F222" i="1" a="1"/>
  <c r="F222" i="1" s="1"/>
  <c r="G222" i="1" s="1" a="1"/>
  <c r="G222" i="1" s="1"/>
  <c r="F223" i="1" a="1"/>
  <c r="F223" i="1" s="1"/>
  <c r="G223" i="1" s="1" a="1"/>
  <c r="G223" i="1" s="1"/>
  <c r="F224" i="1" a="1"/>
  <c r="F224" i="1" s="1"/>
  <c r="G224" i="1" s="1" a="1"/>
  <c r="G224" i="1" s="1"/>
  <c r="F225" i="1" a="1"/>
  <c r="F225" i="1" s="1"/>
  <c r="G225" i="1" s="1" a="1"/>
  <c r="G225" i="1" s="1"/>
  <c r="F226" i="1" a="1"/>
  <c r="F226" i="1" s="1"/>
  <c r="G226" i="1" s="1" a="1"/>
  <c r="G226" i="1" s="1"/>
  <c r="F227" i="1" a="1"/>
  <c r="F227" i="1" s="1"/>
  <c r="G227" i="1" s="1" a="1"/>
  <c r="G227" i="1" s="1"/>
  <c r="F228" i="1" a="1"/>
  <c r="F228" i="1" s="1"/>
  <c r="G228" i="1" s="1" a="1"/>
  <c r="G228" i="1" s="1"/>
  <c r="F229" i="1" a="1"/>
  <c r="F229" i="1" s="1"/>
  <c r="G229" i="1" s="1" a="1"/>
  <c r="G229" i="1" s="1"/>
  <c r="F230" i="1" a="1"/>
  <c r="F230" i="1" s="1"/>
  <c r="G230" i="1" s="1" a="1"/>
  <c r="G230" i="1" s="1"/>
  <c r="F231" i="1" a="1"/>
  <c r="F231" i="1" s="1"/>
  <c r="G231" i="1" s="1" a="1"/>
  <c r="G231" i="1" s="1"/>
  <c r="F232" i="1" a="1"/>
  <c r="F232" i="1" s="1"/>
  <c r="G232" i="1" s="1" a="1"/>
  <c r="G232" i="1" s="1"/>
  <c r="F233" i="1" a="1"/>
  <c r="F233" i="1" s="1"/>
  <c r="G233" i="1" s="1" a="1"/>
  <c r="G233" i="1" s="1"/>
  <c r="F234" i="1" a="1"/>
  <c r="F234" i="1" s="1"/>
  <c r="G234" i="1" s="1" a="1"/>
  <c r="G234" i="1" s="1"/>
  <c r="F235" i="1" a="1"/>
  <c r="F235" i="1"/>
  <c r="G235" i="1" s="1" a="1"/>
  <c r="G235" i="1" s="1"/>
  <c r="F236" i="1" a="1"/>
  <c r="F236" i="1" s="1"/>
  <c r="G236" i="1" s="1" a="1"/>
  <c r="G236" i="1" s="1"/>
  <c r="F237" i="1" a="1"/>
  <c r="F237" i="1" s="1"/>
  <c r="G237" i="1" s="1" a="1"/>
  <c r="G237" i="1" s="1"/>
  <c r="F238" i="1" a="1"/>
  <c r="F238" i="1" s="1"/>
  <c r="G238" i="1" s="1" a="1"/>
  <c r="G238" i="1" s="1"/>
  <c r="F239" i="1" a="1"/>
  <c r="F239" i="1" s="1"/>
  <c r="G239" i="1" s="1" a="1"/>
  <c r="G239" i="1" s="1"/>
  <c r="F240" i="1" a="1"/>
  <c r="F240" i="1" s="1"/>
  <c r="G240" i="1" s="1" a="1"/>
  <c r="G240" i="1" s="1"/>
  <c r="F241" i="1" a="1"/>
  <c r="F241" i="1" s="1"/>
  <c r="G241" i="1" s="1" a="1"/>
  <c r="G241" i="1" s="1"/>
  <c r="F242" i="1" a="1"/>
  <c r="F242" i="1" s="1"/>
  <c r="G242" i="1" s="1" a="1"/>
  <c r="G242" i="1" s="1"/>
  <c r="F243" i="1" a="1"/>
  <c r="F243" i="1"/>
  <c r="G243" i="1" s="1" a="1"/>
  <c r="G243" i="1" s="1"/>
  <c r="F244" i="1" a="1"/>
  <c r="F244" i="1" s="1"/>
  <c r="G244" i="1" s="1" a="1"/>
  <c r="G244" i="1" s="1"/>
  <c r="F245" i="1" a="1"/>
  <c r="F245" i="1" s="1"/>
  <c r="G245" i="1" s="1" a="1"/>
  <c r="G245" i="1" s="1"/>
  <c r="F246" i="1" a="1"/>
  <c r="F246" i="1" s="1"/>
  <c r="G246" i="1" s="1" a="1"/>
  <c r="G246" i="1" s="1"/>
  <c r="F247" i="1" a="1"/>
  <c r="F247" i="1" s="1"/>
  <c r="G247" i="1" s="1" a="1"/>
  <c r="G247" i="1" s="1"/>
  <c r="F248" i="1" a="1"/>
  <c r="F248" i="1" s="1"/>
  <c r="G248" i="1" s="1" a="1"/>
  <c r="G248" i="1" s="1"/>
  <c r="F249" i="1" a="1"/>
  <c r="F249" i="1" s="1"/>
  <c r="G249" i="1" s="1" a="1"/>
  <c r="G249" i="1" s="1"/>
  <c r="F250" i="1" a="1"/>
  <c r="F250" i="1" s="1"/>
  <c r="G250" i="1" s="1" a="1"/>
  <c r="G250" i="1" s="1"/>
  <c r="F251" i="1" a="1"/>
  <c r="F251" i="1" s="1"/>
  <c r="G251" i="1" s="1" a="1"/>
  <c r="G251" i="1" s="1"/>
  <c r="F252" i="1" a="1"/>
  <c r="F252" i="1" s="1"/>
  <c r="G252" i="1" s="1" a="1"/>
  <c r="G252" i="1" s="1"/>
  <c r="F253" i="1" a="1"/>
  <c r="F253" i="1" s="1"/>
  <c r="G253" i="1" s="1" a="1"/>
  <c r="G253" i="1" s="1"/>
  <c r="F254" i="1" a="1"/>
  <c r="F254" i="1" s="1"/>
  <c r="G254" i="1" s="1" a="1"/>
  <c r="G254" i="1" s="1"/>
  <c r="F255" i="1" a="1"/>
  <c r="F255" i="1" s="1"/>
  <c r="G255" i="1" s="1" a="1"/>
  <c r="G255" i="1" s="1"/>
  <c r="F256" i="1" a="1"/>
  <c r="F256" i="1" s="1"/>
  <c r="G256" i="1" s="1" a="1"/>
  <c r="G256" i="1" s="1"/>
  <c r="F257" i="1" a="1"/>
  <c r="F257" i="1" s="1"/>
  <c r="G257" i="1" s="1" a="1"/>
  <c r="G257" i="1" s="1"/>
  <c r="F258" i="1" a="1"/>
  <c r="F258" i="1" s="1"/>
  <c r="G258" i="1" s="1" a="1"/>
  <c r="G258" i="1" s="1"/>
  <c r="F259" i="1" a="1"/>
  <c r="F259" i="1" s="1"/>
  <c r="G259" i="1" s="1" a="1"/>
  <c r="G259" i="1" s="1"/>
  <c r="F260" i="1" a="1"/>
  <c r="F260" i="1" s="1"/>
  <c r="G260" i="1" s="1" a="1"/>
  <c r="G260" i="1" s="1"/>
  <c r="F261" i="1" a="1"/>
  <c r="F261" i="1" s="1"/>
  <c r="G261" i="1" s="1" a="1"/>
  <c r="G261" i="1" s="1"/>
  <c r="F262" i="1" a="1"/>
  <c r="F262" i="1" s="1"/>
  <c r="G262" i="1" s="1" a="1"/>
  <c r="G262" i="1" s="1"/>
  <c r="F263" i="1" a="1"/>
  <c r="F263" i="1" s="1"/>
  <c r="G263" i="1" s="1" a="1"/>
  <c r="G263" i="1" s="1"/>
  <c r="F264" i="1" a="1"/>
  <c r="F264" i="1" s="1"/>
  <c r="G264" i="1" s="1" a="1"/>
  <c r="G264" i="1" s="1"/>
  <c r="F265" i="1" a="1"/>
  <c r="F265" i="1" s="1"/>
  <c r="G265" i="1" s="1" a="1"/>
  <c r="G265" i="1" s="1"/>
  <c r="F266" i="1" a="1"/>
  <c r="F266" i="1" s="1"/>
  <c r="G266" i="1" s="1" a="1"/>
  <c r="G266" i="1" s="1"/>
  <c r="F267" i="1" a="1"/>
  <c r="F267" i="1" s="1"/>
  <c r="G267" i="1" s="1" a="1"/>
  <c r="G267" i="1" s="1"/>
  <c r="F268" i="1" a="1"/>
  <c r="F268" i="1" s="1"/>
  <c r="G268" i="1" s="1" a="1"/>
  <c r="G268" i="1" s="1"/>
  <c r="F269" i="1" a="1"/>
  <c r="F269" i="1" s="1"/>
  <c r="G269" i="1" s="1" a="1"/>
  <c r="G269" i="1" s="1"/>
  <c r="F270" i="1" a="1"/>
  <c r="F270" i="1" s="1"/>
  <c r="G270" i="1" s="1" a="1"/>
  <c r="G270" i="1" s="1"/>
  <c r="F271" i="1" a="1"/>
  <c r="F271" i="1" s="1"/>
  <c r="G271" i="1" s="1" a="1"/>
  <c r="G271" i="1" s="1"/>
  <c r="F272" i="1" a="1"/>
  <c r="F272" i="1" s="1"/>
  <c r="G272" i="1" s="1" a="1"/>
  <c r="G272" i="1" s="1"/>
  <c r="F273" i="1" a="1"/>
  <c r="F273" i="1" s="1"/>
  <c r="G273" i="1" s="1" a="1"/>
  <c r="G273" i="1" s="1"/>
  <c r="F274" i="1" a="1"/>
  <c r="F274" i="1"/>
  <c r="G274" i="1" s="1" a="1"/>
  <c r="G274" i="1" s="1"/>
  <c r="F275" i="1" a="1"/>
  <c r="F275" i="1"/>
  <c r="G275" i="1" s="1" a="1"/>
  <c r="G275" i="1" s="1"/>
  <c r="F276" i="1" a="1"/>
  <c r="F276" i="1" s="1"/>
  <c r="G276" i="1" s="1" a="1"/>
  <c r="G276" i="1" s="1"/>
  <c r="F277" i="1" a="1"/>
  <c r="F277" i="1" s="1"/>
  <c r="G277" i="1" s="1" a="1"/>
  <c r="G277" i="1" s="1"/>
  <c r="F278" i="1" a="1"/>
  <c r="F278" i="1" s="1"/>
  <c r="G278" i="1" s="1" a="1"/>
  <c r="G278" i="1" s="1"/>
  <c r="F279" i="1" a="1"/>
  <c r="F279" i="1" s="1"/>
  <c r="G279" i="1" s="1" a="1"/>
  <c r="G279" i="1" s="1"/>
  <c r="F280" i="1" a="1"/>
  <c r="F280" i="1" s="1"/>
  <c r="G280" i="1" s="1" a="1"/>
  <c r="G280" i="1" s="1"/>
  <c r="F281" i="1" a="1"/>
  <c r="F281" i="1" s="1"/>
  <c r="G281" i="1" s="1" a="1"/>
  <c r="G281" i="1" s="1"/>
  <c r="F282" i="1" a="1"/>
  <c r="F282" i="1" s="1"/>
  <c r="G282" i="1" s="1" a="1"/>
  <c r="G282" i="1" s="1"/>
  <c r="F283" i="1" a="1"/>
  <c r="F283" i="1" s="1"/>
  <c r="G283" i="1" s="1" a="1"/>
  <c r="G283" i="1" s="1"/>
  <c r="F284" i="1" a="1"/>
  <c r="F284" i="1" s="1"/>
  <c r="G284" i="1" s="1" a="1"/>
  <c r="G284" i="1" s="1"/>
  <c r="F285" i="1" a="1"/>
  <c r="F285" i="1" s="1"/>
  <c r="G285" i="1" s="1" a="1"/>
  <c r="G285" i="1" s="1"/>
  <c r="F286" i="1" a="1"/>
  <c r="F286" i="1" s="1"/>
  <c r="G286" i="1" s="1" a="1"/>
  <c r="G286" i="1" s="1"/>
  <c r="F287" i="1" a="1"/>
  <c r="F287" i="1" s="1"/>
  <c r="G287" i="1" s="1" a="1"/>
  <c r="G287" i="1" s="1"/>
  <c r="F288" i="1" a="1"/>
  <c r="F288" i="1" s="1"/>
  <c r="G288" i="1" s="1" a="1"/>
  <c r="G288" i="1" s="1"/>
  <c r="F289" i="1" a="1"/>
  <c r="F289" i="1" s="1"/>
  <c r="G289" i="1" s="1" a="1"/>
  <c r="G289" i="1" s="1"/>
  <c r="F290" i="1" a="1"/>
  <c r="F290" i="1" s="1"/>
  <c r="G290" i="1" s="1" a="1"/>
  <c r="G290" i="1" s="1"/>
  <c r="F291" i="1" a="1"/>
  <c r="F291" i="1" s="1"/>
  <c r="G291" i="1" s="1" a="1"/>
  <c r="G291" i="1" s="1"/>
  <c r="F292" i="1" a="1"/>
  <c r="F292" i="1" s="1"/>
  <c r="G292" i="1" s="1" a="1"/>
  <c r="G292" i="1" s="1"/>
  <c r="F293" i="1" a="1"/>
  <c r="F293" i="1" s="1"/>
  <c r="G293" i="1" s="1" a="1"/>
  <c r="G293" i="1" s="1"/>
  <c r="F294" i="1" a="1"/>
  <c r="F294" i="1" s="1"/>
  <c r="G294" i="1" s="1" a="1"/>
  <c r="G294" i="1" s="1"/>
  <c r="F295" i="1" a="1"/>
  <c r="F295" i="1" s="1"/>
  <c r="G295" i="1" s="1" a="1"/>
  <c r="G295" i="1" s="1"/>
  <c r="F296" i="1" a="1"/>
  <c r="F296" i="1" s="1"/>
  <c r="G296" i="1" s="1" a="1"/>
  <c r="G296" i="1" s="1"/>
  <c r="F297" i="1" a="1"/>
  <c r="F297" i="1" s="1"/>
  <c r="G297" i="1" s="1" a="1"/>
  <c r="G297" i="1" s="1"/>
  <c r="F298" i="1" a="1"/>
  <c r="F298" i="1" s="1"/>
  <c r="G298" i="1" s="1" a="1"/>
  <c r="G298" i="1" s="1"/>
  <c r="F299" i="1" a="1"/>
  <c r="F299" i="1" s="1"/>
  <c r="G299" i="1" s="1" a="1"/>
  <c r="G299" i="1" s="1"/>
  <c r="F300" i="1" a="1"/>
  <c r="F300" i="1" s="1"/>
  <c r="G300" i="1" s="1" a="1"/>
  <c r="G300" i="1" s="1"/>
  <c r="F301" i="1" a="1"/>
  <c r="F301" i="1" s="1"/>
  <c r="G301" i="1" s="1" a="1"/>
  <c r="G301" i="1" s="1"/>
  <c r="F302" i="1" a="1"/>
  <c r="F302" i="1" s="1"/>
  <c r="G302" i="1" s="1" a="1"/>
  <c r="G302" i="1" s="1"/>
  <c r="F303" i="1" a="1"/>
  <c r="F303" i="1" s="1"/>
  <c r="G303" i="1" s="1" a="1"/>
  <c r="G303" i="1" s="1"/>
  <c r="F304" i="1" a="1"/>
  <c r="F304" i="1" s="1"/>
  <c r="G304" i="1" s="1" a="1"/>
  <c r="G304" i="1" s="1"/>
  <c r="F305" i="1" a="1"/>
  <c r="F305" i="1" s="1"/>
  <c r="G305" i="1" s="1" a="1"/>
  <c r="G305" i="1" s="1"/>
  <c r="F306" i="1" a="1"/>
  <c r="F306" i="1" s="1"/>
  <c r="G306" i="1" s="1" a="1"/>
  <c r="G306" i="1" s="1"/>
  <c r="F307" i="1" a="1"/>
  <c r="F307" i="1" s="1"/>
  <c r="G307" i="1" s="1" a="1"/>
  <c r="G307" i="1" s="1"/>
  <c r="F308" i="1" a="1"/>
  <c r="F308" i="1" s="1"/>
  <c r="G308" i="1" s="1" a="1"/>
  <c r="G308" i="1" s="1"/>
  <c r="F309" i="1" a="1"/>
  <c r="F309" i="1" s="1"/>
  <c r="G309" i="1" s="1" a="1"/>
  <c r="G309" i="1" s="1"/>
  <c r="F310" i="1" a="1"/>
  <c r="F310" i="1" s="1"/>
  <c r="G310" i="1" s="1" a="1"/>
  <c r="G310" i="1" s="1"/>
  <c r="F311" i="1" a="1"/>
  <c r="F311" i="1" s="1"/>
  <c r="G311" i="1" s="1" a="1"/>
  <c r="G311" i="1" s="1"/>
  <c r="F312" i="1" a="1"/>
  <c r="F312" i="1" s="1"/>
  <c r="G312" i="1" s="1" a="1"/>
  <c r="G312" i="1" s="1"/>
  <c r="F313" i="1" a="1"/>
  <c r="F313" i="1" s="1"/>
  <c r="G313" i="1" s="1" a="1"/>
  <c r="G313" i="1" s="1"/>
  <c r="F314" i="1" a="1"/>
  <c r="F314" i="1" s="1"/>
  <c r="G314" i="1" s="1" a="1"/>
  <c r="G314" i="1" s="1"/>
  <c r="F315" i="1" a="1"/>
  <c r="F315" i="1" s="1"/>
  <c r="G315" i="1" s="1" a="1"/>
  <c r="G315" i="1" s="1"/>
  <c r="F316" i="1" a="1"/>
  <c r="F316" i="1" s="1"/>
  <c r="G316" i="1" s="1" a="1"/>
  <c r="G316" i="1" s="1"/>
  <c r="F317" i="1" a="1"/>
  <c r="F317" i="1" s="1"/>
  <c r="G317" i="1" s="1" a="1"/>
  <c r="G317" i="1" s="1"/>
  <c r="F318" i="1" a="1"/>
  <c r="F318" i="1" s="1"/>
  <c r="G318" i="1" s="1" a="1"/>
  <c r="G318" i="1" s="1"/>
  <c r="F319" i="1" a="1"/>
  <c r="F319" i="1" s="1"/>
  <c r="G319" i="1" s="1" a="1"/>
  <c r="G319" i="1" s="1"/>
  <c r="F320" i="1" a="1"/>
  <c r="F320" i="1" s="1"/>
  <c r="G320" i="1" s="1" a="1"/>
  <c r="G320" i="1" s="1"/>
  <c r="F321" i="1" a="1"/>
  <c r="F321" i="1" s="1"/>
  <c r="G321" i="1" s="1" a="1"/>
  <c r="G321" i="1" s="1"/>
  <c r="F322" i="1" a="1"/>
  <c r="F322" i="1" s="1"/>
  <c r="G322" i="1" s="1" a="1"/>
  <c r="G322" i="1" s="1"/>
  <c r="F323" i="1" a="1"/>
  <c r="F323" i="1" s="1"/>
  <c r="G323" i="1" s="1" a="1"/>
  <c r="G323" i="1" s="1"/>
  <c r="F324" i="1" a="1"/>
  <c r="F324" i="1" s="1"/>
  <c r="G324" i="1" s="1" a="1"/>
  <c r="G324" i="1" s="1"/>
  <c r="F325" i="1" a="1"/>
  <c r="F325" i="1" s="1"/>
  <c r="G325" i="1" s="1" a="1"/>
  <c r="G325" i="1" s="1"/>
  <c r="F326" i="1" a="1"/>
  <c r="F326" i="1" s="1"/>
  <c r="G326" i="1" s="1" a="1"/>
  <c r="G326" i="1" s="1"/>
  <c r="F327" i="1" a="1"/>
  <c r="F327" i="1" s="1"/>
  <c r="G327" i="1" s="1" a="1"/>
  <c r="G327" i="1" s="1"/>
  <c r="F328" i="1" a="1"/>
  <c r="F328" i="1" s="1"/>
  <c r="G328" i="1" s="1" a="1"/>
  <c r="G328" i="1" s="1"/>
  <c r="F329" i="1" a="1"/>
  <c r="F329" i="1"/>
  <c r="G329" i="1" s="1" a="1"/>
  <c r="G329" i="1" s="1"/>
  <c r="F330" i="1" a="1"/>
  <c r="F330" i="1"/>
  <c r="G330" i="1" s="1" a="1"/>
  <c r="G330" i="1" s="1"/>
  <c r="F331" i="1" a="1"/>
  <c r="F331" i="1" s="1"/>
  <c r="G331" i="1" s="1" a="1"/>
  <c r="G331" i="1" s="1"/>
  <c r="F332" i="1" a="1"/>
  <c r="F332" i="1" s="1"/>
  <c r="G332" i="1" s="1" a="1"/>
  <c r="G332" i="1" s="1"/>
  <c r="F333" i="1" a="1"/>
  <c r="F333" i="1" s="1"/>
  <c r="G333" i="1" s="1" a="1"/>
  <c r="G333" i="1" s="1"/>
  <c r="F334" i="1" a="1"/>
  <c r="F334" i="1" s="1"/>
  <c r="G334" i="1" s="1" a="1"/>
  <c r="G334" i="1" s="1"/>
  <c r="F335" i="1" a="1"/>
  <c r="F335" i="1" s="1"/>
  <c r="G335" i="1" s="1" a="1"/>
  <c r="G335" i="1" s="1"/>
  <c r="F336" i="1" a="1"/>
  <c r="F336" i="1" s="1"/>
  <c r="G336" i="1" s="1" a="1"/>
  <c r="G336" i="1" s="1"/>
  <c r="F337" i="1" a="1"/>
  <c r="F337" i="1" s="1"/>
  <c r="G337" i="1" s="1" a="1"/>
  <c r="G337" i="1" s="1"/>
  <c r="F338" i="1" a="1"/>
  <c r="F338" i="1" s="1"/>
  <c r="G338" i="1" s="1" a="1"/>
  <c r="G338" i="1" s="1"/>
  <c r="F339" i="1" a="1"/>
  <c r="F339" i="1" s="1"/>
  <c r="G339" i="1" s="1" a="1"/>
  <c r="G339" i="1" s="1"/>
  <c r="F340" i="1" a="1"/>
  <c r="F340" i="1" s="1"/>
  <c r="G340" i="1" s="1" a="1"/>
  <c r="G340" i="1" s="1"/>
  <c r="F341" i="1" a="1"/>
  <c r="F341" i="1" s="1"/>
  <c r="G341" i="1" s="1" a="1"/>
  <c r="G341" i="1" s="1"/>
  <c r="F342" i="1" a="1"/>
  <c r="F342" i="1" s="1"/>
  <c r="G342" i="1" s="1" a="1"/>
  <c r="G342" i="1" s="1"/>
  <c r="F343" i="1" a="1"/>
  <c r="F343" i="1" s="1"/>
  <c r="G343" i="1" s="1" a="1"/>
  <c r="G343" i="1" s="1"/>
  <c r="F344" i="1" a="1"/>
  <c r="F344" i="1"/>
  <c r="G344" i="1" s="1" a="1"/>
  <c r="G344" i="1" s="1"/>
  <c r="F345" i="1" a="1"/>
  <c r="F345" i="1" s="1"/>
  <c r="G345" i="1" s="1" a="1"/>
  <c r="G345" i="1" s="1"/>
  <c r="F346" i="1" a="1"/>
  <c r="F346" i="1" s="1"/>
  <c r="G346" i="1" s="1" a="1"/>
  <c r="G346" i="1" s="1"/>
  <c r="F347" i="1" a="1"/>
  <c r="F347" i="1" s="1"/>
  <c r="G347" i="1" s="1" a="1"/>
  <c r="G347" i="1" s="1"/>
  <c r="F348" i="1" a="1"/>
  <c r="F348" i="1" s="1"/>
  <c r="G348" i="1" s="1" a="1"/>
  <c r="G348" i="1" s="1"/>
  <c r="F349" i="1" a="1"/>
  <c r="F349" i="1" s="1"/>
  <c r="G349" i="1" s="1" a="1"/>
  <c r="G349" i="1" s="1"/>
  <c r="F350" i="1" a="1"/>
  <c r="F350" i="1" s="1"/>
  <c r="G350" i="1" s="1" a="1"/>
  <c r="G350" i="1" s="1"/>
  <c r="F351" i="1" a="1"/>
  <c r="F351" i="1" s="1"/>
  <c r="G351" i="1" s="1" a="1"/>
  <c r="G351" i="1" s="1"/>
  <c r="F352" i="1" a="1"/>
  <c r="F352" i="1" s="1"/>
  <c r="G352" i="1" s="1" a="1"/>
  <c r="G352" i="1" s="1"/>
  <c r="F353" i="1" a="1"/>
  <c r="F353" i="1" s="1"/>
  <c r="G353" i="1" s="1" a="1"/>
  <c r="G353" i="1" s="1"/>
  <c r="F354" i="1" a="1"/>
  <c r="F354" i="1" s="1"/>
  <c r="G354" i="1" s="1" a="1"/>
  <c r="G354" i="1" s="1"/>
  <c r="F355" i="1" a="1"/>
  <c r="F355" i="1"/>
  <c r="G355" i="1" s="1" a="1"/>
  <c r="G355" i="1" s="1"/>
  <c r="F356" i="1" a="1"/>
  <c r="F356" i="1" s="1"/>
  <c r="G356" i="1" s="1" a="1"/>
  <c r="G356" i="1" s="1"/>
  <c r="F357" i="1" a="1"/>
  <c r="F357" i="1" s="1"/>
  <c r="G357" i="1" s="1" a="1"/>
  <c r="G357" i="1" s="1"/>
  <c r="F358" i="1" a="1"/>
  <c r="F358" i="1" s="1"/>
  <c r="G358" i="1" s="1" a="1"/>
  <c r="G358" i="1" s="1"/>
  <c r="F359" i="1" a="1"/>
  <c r="F359" i="1" s="1"/>
  <c r="G359" i="1" s="1" a="1"/>
  <c r="G359" i="1" s="1"/>
  <c r="F360" i="1" a="1"/>
  <c r="F360" i="1" s="1"/>
  <c r="G360" i="1" s="1" a="1"/>
  <c r="G360" i="1" s="1"/>
  <c r="F361" i="1" a="1"/>
  <c r="F361" i="1" s="1"/>
  <c r="G361" i="1" s="1" a="1"/>
  <c r="G361" i="1" s="1"/>
  <c r="F362" i="1" a="1"/>
  <c r="F362" i="1" s="1"/>
  <c r="G362" i="1" s="1" a="1"/>
  <c r="G362" i="1" s="1"/>
  <c r="F363" i="1" a="1"/>
  <c r="F363" i="1"/>
  <c r="G363" i="1" s="1" a="1"/>
  <c r="G363" i="1" s="1"/>
  <c r="F364" i="1" a="1"/>
  <c r="F364" i="1" s="1"/>
  <c r="G364" i="1" s="1" a="1"/>
  <c r="G364" i="1" s="1"/>
  <c r="F365" i="1" a="1"/>
  <c r="F365" i="1" s="1"/>
  <c r="G365" i="1" s="1" a="1"/>
  <c r="G365" i="1" s="1"/>
  <c r="F366" i="1" a="1"/>
  <c r="F366" i="1"/>
  <c r="G366" i="1" s="1" a="1"/>
  <c r="G366" i="1" s="1"/>
  <c r="F367" i="1" a="1"/>
  <c r="F367" i="1" s="1"/>
  <c r="G367" i="1" s="1" a="1"/>
  <c r="G367" i="1" s="1"/>
  <c r="F368" i="1" a="1"/>
  <c r="F368" i="1" s="1"/>
  <c r="G368" i="1" s="1" a="1"/>
  <c r="G368" i="1" s="1"/>
  <c r="F369" i="1" a="1"/>
  <c r="F369" i="1" s="1"/>
  <c r="G369" i="1" s="1" a="1"/>
  <c r="G369" i="1" s="1"/>
  <c r="F370" i="1" a="1"/>
  <c r="F370" i="1"/>
  <c r="G370" i="1" s="1" a="1"/>
  <c r="G370" i="1" s="1"/>
  <c r="F371" i="1" a="1"/>
  <c r="F371" i="1"/>
  <c r="G371" i="1" s="1" a="1"/>
  <c r="G371" i="1" s="1"/>
  <c r="F372" i="1" a="1"/>
  <c r="F372" i="1" s="1"/>
  <c r="G372" i="1" s="1" a="1"/>
  <c r="G372" i="1" s="1"/>
  <c r="F373" i="1" a="1"/>
  <c r="F373" i="1" s="1"/>
  <c r="G373" i="1" s="1" a="1"/>
  <c r="G373" i="1" s="1"/>
  <c r="F374" i="1" a="1"/>
  <c r="F374" i="1" s="1"/>
  <c r="G374" i="1" s="1" a="1"/>
  <c r="G374" i="1" s="1"/>
  <c r="F375" i="1" a="1"/>
  <c r="F375" i="1" s="1"/>
  <c r="G375" i="1" s="1" a="1"/>
  <c r="G375" i="1" s="1"/>
  <c r="F376" i="1" a="1"/>
  <c r="F376" i="1" s="1"/>
  <c r="G376" i="1" s="1" a="1"/>
  <c r="G376" i="1" s="1"/>
  <c r="F377" i="1" a="1"/>
  <c r="F377" i="1" s="1"/>
  <c r="G377" i="1" s="1" a="1"/>
  <c r="G377" i="1" s="1"/>
  <c r="F378" i="1" a="1"/>
  <c r="F378" i="1" s="1"/>
  <c r="G378" i="1" s="1" a="1"/>
  <c r="G378" i="1" s="1"/>
  <c r="F379" i="1" a="1"/>
  <c r="F379" i="1" s="1"/>
  <c r="G379" i="1" s="1" a="1"/>
  <c r="G379" i="1" s="1"/>
  <c r="F380" i="1" a="1"/>
  <c r="F380" i="1" s="1"/>
  <c r="G380" i="1" s="1" a="1"/>
  <c r="G380" i="1" s="1"/>
  <c r="F381" i="1" a="1"/>
  <c r="F381" i="1" s="1"/>
  <c r="G381" i="1" s="1" a="1"/>
  <c r="G381" i="1" s="1"/>
  <c r="F382" i="1" a="1"/>
  <c r="F382" i="1" s="1"/>
  <c r="G382" i="1" s="1" a="1"/>
  <c r="G382" i="1" s="1"/>
  <c r="F383" i="1" a="1"/>
  <c r="F383" i="1" s="1"/>
  <c r="G383" i="1" s="1" a="1"/>
  <c r="G383" i="1" s="1"/>
  <c r="F384" i="1" a="1"/>
  <c r="F384" i="1" s="1"/>
  <c r="G384" i="1" s="1" a="1"/>
  <c r="G384" i="1" s="1"/>
  <c r="F385" i="1" a="1"/>
  <c r="F385" i="1" s="1"/>
  <c r="G385" i="1" s="1" a="1"/>
  <c r="G385" i="1" s="1"/>
  <c r="F386" i="1" a="1"/>
  <c r="F386" i="1" s="1"/>
  <c r="G386" i="1" s="1" a="1"/>
  <c r="G386" i="1" s="1"/>
  <c r="F387" i="1" a="1"/>
  <c r="F387" i="1" s="1"/>
  <c r="G387" i="1" s="1" a="1"/>
  <c r="G387" i="1" s="1"/>
  <c r="F388" i="1" a="1"/>
  <c r="F388" i="1" s="1"/>
  <c r="G388" i="1" s="1" a="1"/>
  <c r="G388" i="1" s="1"/>
  <c r="F389" i="1" a="1"/>
  <c r="F389" i="1" s="1"/>
  <c r="G389" i="1" s="1" a="1"/>
  <c r="G389" i="1" s="1"/>
  <c r="F390" i="1" a="1"/>
  <c r="F390" i="1"/>
  <c r="G390" i="1" s="1" a="1"/>
  <c r="G390" i="1" s="1"/>
  <c r="F391" i="1" a="1"/>
  <c r="F391" i="1"/>
  <c r="G391" i="1" s="1" a="1"/>
  <c r="G391" i="1" s="1"/>
  <c r="F392" i="1" a="1"/>
  <c r="F392" i="1" s="1"/>
  <c r="G392" i="1" s="1" a="1"/>
  <c r="G392" i="1" s="1"/>
  <c r="F393" i="1" a="1"/>
  <c r="F393" i="1" s="1"/>
  <c r="G393" i="1" s="1" a="1"/>
  <c r="G393" i="1" s="1"/>
  <c r="F394" i="1" a="1"/>
  <c r="F394" i="1" s="1"/>
  <c r="G394" i="1" s="1" a="1"/>
  <c r="G394" i="1" s="1"/>
  <c r="F395" i="1" a="1"/>
  <c r="F395" i="1" s="1"/>
  <c r="G395" i="1" s="1" a="1"/>
  <c r="G395" i="1" s="1"/>
  <c r="F396" i="1" a="1"/>
  <c r="F396" i="1"/>
  <c r="G396" i="1" s="1" a="1"/>
  <c r="G396" i="1" s="1"/>
  <c r="F397" i="1" a="1"/>
  <c r="F397" i="1" s="1"/>
  <c r="G397" i="1" s="1" a="1"/>
  <c r="G397" i="1" s="1"/>
  <c r="F398" i="1" a="1"/>
  <c r="F398" i="1" s="1"/>
  <c r="G398" i="1" s="1" a="1"/>
  <c r="G398" i="1" s="1"/>
  <c r="F399" i="1" a="1"/>
  <c r="F399" i="1" s="1"/>
  <c r="G399" i="1" s="1" a="1"/>
  <c r="G399" i="1" s="1"/>
  <c r="F400" i="1" a="1"/>
  <c r="F400" i="1" s="1"/>
  <c r="G400" i="1" s="1" a="1"/>
  <c r="G400" i="1" s="1"/>
  <c r="F401" i="1" a="1"/>
  <c r="F401" i="1" s="1"/>
  <c r="G401" i="1" s="1" a="1"/>
  <c r="G401" i="1" s="1"/>
  <c r="F402" i="1" a="1"/>
  <c r="F402" i="1" s="1"/>
  <c r="G402" i="1" s="1" a="1"/>
  <c r="G402" i="1" s="1"/>
  <c r="F403" i="1" a="1"/>
  <c r="F403" i="1" s="1"/>
  <c r="G403" i="1" s="1" a="1"/>
  <c r="G403" i="1" s="1"/>
  <c r="F404" i="1" a="1"/>
  <c r="F404" i="1" s="1"/>
  <c r="G404" i="1" s="1" a="1"/>
  <c r="G404" i="1" s="1"/>
  <c r="F405" i="1" a="1"/>
  <c r="F405" i="1"/>
  <c r="G405" i="1" s="1" a="1"/>
  <c r="G405" i="1" s="1"/>
  <c r="F406" i="1" a="1"/>
  <c r="F406" i="1"/>
  <c r="G406" i="1" s="1" a="1"/>
  <c r="G406" i="1" s="1"/>
  <c r="F407" i="1" a="1"/>
  <c r="F407" i="1" s="1"/>
  <c r="G407" i="1" s="1" a="1"/>
  <c r="G407" i="1" s="1"/>
  <c r="F408" i="1" a="1"/>
  <c r="F408" i="1" s="1"/>
  <c r="G408" i="1" s="1" a="1"/>
  <c r="G408" i="1" s="1"/>
  <c r="F409" i="1" a="1"/>
  <c r="F409" i="1" s="1"/>
  <c r="G409" i="1" s="1" a="1"/>
  <c r="G409" i="1" s="1"/>
  <c r="F410" i="1" a="1"/>
  <c r="F410" i="1" s="1"/>
  <c r="G410" i="1" s="1" a="1"/>
  <c r="G410" i="1" s="1"/>
  <c r="F411" i="1" a="1"/>
  <c r="F411" i="1"/>
  <c r="G411" i="1" s="1" a="1"/>
  <c r="G411" i="1" s="1"/>
  <c r="F412" i="1" a="1"/>
  <c r="F412" i="1" s="1"/>
  <c r="G412" i="1" s="1" a="1"/>
  <c r="G412" i="1" s="1"/>
  <c r="F413" i="1" a="1"/>
  <c r="F413" i="1" s="1"/>
  <c r="G413" i="1" s="1" a="1"/>
  <c r="G413" i="1" s="1"/>
  <c r="F414" i="1" a="1"/>
  <c r="F414" i="1" s="1"/>
  <c r="G414" i="1" s="1" a="1"/>
  <c r="G414" i="1" s="1"/>
  <c r="F415" i="1" a="1"/>
  <c r="F415" i="1" s="1"/>
  <c r="G415" i="1" s="1" a="1"/>
  <c r="G415" i="1" s="1"/>
  <c r="F416" i="1" a="1"/>
  <c r="F416" i="1" s="1"/>
  <c r="G416" i="1" s="1" a="1"/>
  <c r="G416" i="1" s="1"/>
  <c r="F417" i="1" a="1"/>
  <c r="F417" i="1" s="1"/>
  <c r="G417" i="1" s="1" a="1"/>
  <c r="G417" i="1" s="1"/>
  <c r="F418" i="1" a="1"/>
  <c r="F418" i="1" s="1"/>
  <c r="G418" i="1" s="1" a="1"/>
  <c r="G418" i="1" s="1"/>
  <c r="F419" i="1" a="1"/>
  <c r="F419" i="1"/>
  <c r="G419" i="1" s="1" a="1"/>
  <c r="G419" i="1" s="1"/>
  <c r="F420" i="1" a="1"/>
  <c r="F420" i="1"/>
  <c r="G420" i="1" s="1" a="1"/>
  <c r="G420" i="1" s="1"/>
  <c r="F421" i="1" a="1"/>
  <c r="F421" i="1"/>
  <c r="G421" i="1" s="1" a="1"/>
  <c r="G421" i="1" s="1"/>
  <c r="F422" i="1" a="1"/>
  <c r="F422" i="1" s="1"/>
  <c r="G422" i="1" s="1" a="1"/>
  <c r="G422" i="1" s="1"/>
  <c r="F423" i="1" a="1"/>
  <c r="F423" i="1" s="1"/>
  <c r="G423" i="1" s="1" a="1"/>
  <c r="G423" i="1" s="1"/>
  <c r="F424" i="1" a="1"/>
  <c r="F424" i="1" s="1"/>
  <c r="G424" i="1" s="1" a="1"/>
  <c r="G424" i="1" s="1"/>
  <c r="F425" i="1" a="1"/>
  <c r="F425" i="1" s="1"/>
  <c r="G425" i="1" s="1" a="1"/>
  <c r="G425" i="1" s="1"/>
  <c r="F426" i="1" a="1"/>
  <c r="F426" i="1" s="1"/>
  <c r="G426" i="1" s="1" a="1"/>
  <c r="G426" i="1" s="1"/>
  <c r="F427" i="1" a="1"/>
  <c r="F427" i="1"/>
  <c r="G427" i="1" s="1" a="1"/>
  <c r="G427" i="1" s="1"/>
  <c r="F428" i="1" a="1"/>
  <c r="F428" i="1"/>
  <c r="G428" i="1" s="1" a="1"/>
  <c r="G428" i="1" s="1"/>
  <c r="F429" i="1" a="1"/>
  <c r="F429" i="1" s="1"/>
  <c r="G429" i="1" s="1" a="1"/>
  <c r="G429" i="1" s="1"/>
  <c r="F430" i="1" a="1"/>
  <c r="F430" i="1" s="1"/>
  <c r="G430" i="1" s="1" a="1"/>
  <c r="G430" i="1" s="1"/>
  <c r="F431" i="1" a="1"/>
  <c r="F431" i="1" s="1"/>
  <c r="G431" i="1" s="1" a="1"/>
  <c r="G431" i="1" s="1"/>
  <c r="F432" i="1" a="1"/>
  <c r="F432" i="1" s="1"/>
  <c r="G432" i="1" s="1" a="1"/>
  <c r="G432" i="1" s="1"/>
  <c r="F433" i="1" a="1"/>
  <c r="F433" i="1"/>
  <c r="G433" i="1" s="1" a="1"/>
  <c r="G433" i="1" s="1"/>
  <c r="F434" i="1" a="1"/>
  <c r="F434" i="1"/>
  <c r="G434" i="1" s="1" a="1"/>
  <c r="G434" i="1" s="1"/>
  <c r="F435" i="1" a="1"/>
  <c r="F435" i="1" s="1"/>
  <c r="G435" i="1" s="1" a="1"/>
  <c r="G435" i="1" s="1"/>
  <c r="F436" i="1" a="1"/>
  <c r="F436" i="1" s="1"/>
  <c r="G436" i="1" s="1" a="1"/>
  <c r="G436" i="1" s="1"/>
  <c r="F437" i="1" a="1"/>
  <c r="F437" i="1" s="1"/>
  <c r="G437" i="1" s="1" a="1"/>
  <c r="G437" i="1" s="1"/>
  <c r="F438" i="1" a="1"/>
  <c r="F438" i="1" s="1"/>
  <c r="G438" i="1" s="1" a="1"/>
  <c r="G438" i="1" s="1"/>
  <c r="F439" i="1" a="1"/>
  <c r="F439" i="1" s="1"/>
  <c r="G439" i="1" s="1" a="1"/>
  <c r="G439" i="1" s="1"/>
  <c r="F440" i="1" a="1"/>
  <c r="F440" i="1" s="1"/>
  <c r="G440" i="1" s="1" a="1"/>
  <c r="G440" i="1" s="1"/>
  <c r="F441" i="1" a="1"/>
  <c r="F441" i="1" s="1"/>
  <c r="G441" i="1" s="1" a="1"/>
  <c r="G441" i="1" s="1"/>
  <c r="F442" i="1" a="1"/>
  <c r="F442" i="1" s="1"/>
  <c r="G442" i="1" s="1" a="1"/>
  <c r="G442" i="1" s="1"/>
  <c r="F443" i="1" a="1"/>
  <c r="F443" i="1" s="1"/>
  <c r="G443" i="1" s="1" a="1"/>
  <c r="G443" i="1" s="1"/>
  <c r="F444" i="1" a="1"/>
  <c r="F444" i="1" s="1"/>
  <c r="G444" i="1" s="1" a="1"/>
  <c r="G444" i="1" s="1"/>
  <c r="F445" i="1" a="1"/>
  <c r="F445" i="1" s="1"/>
  <c r="G445" i="1" s="1" a="1"/>
  <c r="G445" i="1" s="1"/>
  <c r="F446" i="1" a="1"/>
  <c r="F446" i="1" s="1"/>
  <c r="G446" i="1" s="1" a="1"/>
  <c r="G446" i="1" s="1"/>
  <c r="F447" i="1" a="1"/>
  <c r="F447" i="1" s="1"/>
  <c r="G447" i="1" s="1" a="1"/>
  <c r="G447" i="1" s="1"/>
  <c r="F448" i="1" a="1"/>
  <c r="F448" i="1" s="1"/>
  <c r="G448" i="1" s="1" a="1"/>
  <c r="G448" i="1" s="1"/>
  <c r="F449" i="1" a="1"/>
  <c r="F449" i="1" s="1"/>
  <c r="G449" i="1" s="1" a="1"/>
  <c r="G449" i="1" s="1"/>
  <c r="F450" i="1" a="1"/>
  <c r="F450" i="1" s="1"/>
  <c r="G450" i="1" s="1" a="1"/>
  <c r="G450" i="1" s="1"/>
  <c r="F451" i="1" a="1"/>
  <c r="F451" i="1" s="1"/>
  <c r="G451" i="1" s="1" a="1"/>
  <c r="G451" i="1" s="1"/>
  <c r="F452" i="1" a="1"/>
  <c r="F452" i="1" s="1"/>
  <c r="G452" i="1" s="1" a="1"/>
  <c r="G452" i="1" s="1"/>
  <c r="F453" i="1" a="1"/>
  <c r="F453" i="1" s="1"/>
  <c r="G453" i="1" s="1" a="1"/>
  <c r="G453" i="1" s="1"/>
  <c r="F454" i="1" a="1"/>
  <c r="F454" i="1" s="1"/>
  <c r="G454" i="1" s="1" a="1"/>
  <c r="G454" i="1" s="1"/>
  <c r="F455" i="1" a="1"/>
  <c r="F455" i="1" s="1"/>
  <c r="G455" i="1" s="1" a="1"/>
  <c r="G455" i="1" s="1"/>
  <c r="F456" i="1" a="1"/>
  <c r="F456" i="1" s="1"/>
  <c r="G456" i="1" s="1" a="1"/>
  <c r="G456" i="1" s="1"/>
  <c r="F457" i="1" a="1"/>
  <c r="F457" i="1" s="1"/>
  <c r="G457" i="1" s="1" a="1"/>
  <c r="G457" i="1" s="1"/>
  <c r="F458" i="1" a="1"/>
  <c r="F458" i="1" s="1"/>
  <c r="G458" i="1" s="1" a="1"/>
  <c r="G458" i="1" s="1"/>
  <c r="F459" i="1" a="1"/>
  <c r="F459" i="1" s="1"/>
  <c r="G459" i="1" s="1" a="1"/>
  <c r="G459" i="1" s="1"/>
  <c r="F460" i="1" a="1"/>
  <c r="F460" i="1" s="1"/>
  <c r="G460" i="1" s="1" a="1"/>
  <c r="G460" i="1" s="1"/>
  <c r="F461" i="1" a="1"/>
  <c r="F461" i="1" s="1"/>
  <c r="G461" i="1" s="1" a="1"/>
  <c r="G461" i="1" s="1"/>
  <c r="F462" i="1" a="1"/>
  <c r="F462" i="1" s="1"/>
  <c r="G462" i="1" s="1" a="1"/>
  <c r="G462" i="1" s="1"/>
  <c r="F463" i="1" a="1"/>
  <c r="F463" i="1" s="1"/>
  <c r="G463" i="1" s="1" a="1"/>
  <c r="G463" i="1" s="1"/>
  <c r="F464" i="1" a="1"/>
  <c r="F464" i="1" s="1"/>
  <c r="G464" i="1" s="1" a="1"/>
  <c r="G464" i="1" s="1"/>
  <c r="F465" i="1" a="1"/>
  <c r="F465" i="1" s="1"/>
  <c r="G465" i="1" s="1" a="1"/>
  <c r="G465" i="1" s="1"/>
  <c r="F466" i="1" a="1"/>
  <c r="F466" i="1" s="1"/>
  <c r="G466" i="1" s="1" a="1"/>
  <c r="G466" i="1" s="1"/>
  <c r="F467" i="1" a="1"/>
  <c r="F467" i="1" s="1"/>
  <c r="G467" i="1" s="1" a="1"/>
  <c r="G467" i="1" s="1"/>
  <c r="F468" i="1" a="1"/>
  <c r="F468" i="1" s="1"/>
  <c r="G468" i="1" s="1" a="1"/>
  <c r="G468" i="1" s="1"/>
  <c r="F469" i="1" a="1"/>
  <c r="F469" i="1" s="1"/>
  <c r="G469" i="1" s="1" a="1"/>
  <c r="G469" i="1" s="1"/>
  <c r="F470" i="1" a="1"/>
  <c r="F470" i="1" s="1"/>
  <c r="G470" i="1" s="1" a="1"/>
  <c r="G470" i="1" s="1"/>
  <c r="F471" i="1" a="1"/>
  <c r="F471" i="1" s="1"/>
  <c r="G471" i="1" s="1" a="1"/>
  <c r="G471" i="1" s="1"/>
  <c r="F472" i="1" a="1"/>
  <c r="F472" i="1" s="1"/>
  <c r="G472" i="1" s="1" a="1"/>
  <c r="G472" i="1" s="1"/>
  <c r="F473" i="1" a="1"/>
  <c r="F473" i="1" s="1"/>
  <c r="G473" i="1" s="1" a="1"/>
  <c r="G473" i="1" s="1"/>
  <c r="F474" i="1" a="1"/>
  <c r="F474" i="1" s="1"/>
  <c r="G474" i="1" s="1" a="1"/>
  <c r="G474" i="1" s="1"/>
  <c r="F475" i="1" a="1"/>
  <c r="F475" i="1" s="1"/>
  <c r="G475" i="1" s="1" a="1"/>
  <c r="G475" i="1" s="1"/>
  <c r="F476" i="1" a="1"/>
  <c r="F476" i="1" s="1"/>
  <c r="G476" i="1" s="1" a="1"/>
  <c r="G476" i="1" s="1"/>
  <c r="F477" i="1" a="1"/>
  <c r="F477" i="1" s="1"/>
  <c r="G477" i="1" s="1" a="1"/>
  <c r="G477" i="1" s="1"/>
  <c r="F478" i="1" a="1"/>
  <c r="F478" i="1"/>
  <c r="G478" i="1" s="1" a="1"/>
  <c r="G478" i="1" s="1"/>
  <c r="F479" i="1" a="1"/>
  <c r="F479" i="1" s="1"/>
  <c r="G479" i="1" s="1" a="1"/>
  <c r="G479" i="1" s="1"/>
  <c r="F480" i="1" a="1"/>
  <c r="F480" i="1" s="1"/>
  <c r="G480" i="1" s="1" a="1"/>
  <c r="G480" i="1" s="1"/>
  <c r="F481" i="1" a="1"/>
  <c r="F481" i="1" s="1"/>
  <c r="G481" i="1" s="1" a="1"/>
  <c r="G481" i="1" s="1"/>
  <c r="F482" i="1" a="1"/>
  <c r="F482" i="1" s="1"/>
  <c r="G482" i="1" s="1" a="1"/>
  <c r="G482" i="1" s="1"/>
  <c r="F483" i="1" a="1"/>
  <c r="F483" i="1" s="1"/>
  <c r="G483" i="1" s="1" a="1"/>
  <c r="G483" i="1" s="1"/>
  <c r="F484" i="1" a="1"/>
  <c r="F484" i="1" s="1"/>
  <c r="G484" i="1" s="1" a="1"/>
  <c r="G484" i="1" s="1"/>
  <c r="F485" i="1" a="1"/>
  <c r="F485" i="1" s="1"/>
  <c r="G485" i="1" s="1" a="1"/>
  <c r="G485" i="1" s="1"/>
  <c r="F486" i="1" a="1"/>
  <c r="F486" i="1" s="1"/>
  <c r="G486" i="1" s="1" a="1"/>
  <c r="G486" i="1" s="1"/>
  <c r="F487" i="1" a="1"/>
  <c r="F487" i="1" s="1"/>
  <c r="G487" i="1" s="1" a="1"/>
  <c r="G487" i="1" s="1"/>
  <c r="F488" i="1" a="1"/>
  <c r="F488" i="1" s="1"/>
  <c r="G488" i="1" s="1" a="1"/>
  <c r="G488" i="1" s="1"/>
  <c r="F489" i="1" a="1"/>
  <c r="F489" i="1" s="1"/>
  <c r="G489" i="1" s="1" a="1"/>
  <c r="G489" i="1" s="1"/>
  <c r="F490" i="1" a="1"/>
  <c r="F490" i="1" s="1"/>
  <c r="G490" i="1" s="1" a="1"/>
  <c r="G490" i="1" s="1"/>
  <c r="F491" i="1" a="1"/>
  <c r="F491" i="1" s="1"/>
  <c r="G491" i="1" s="1" a="1"/>
  <c r="G491" i="1" s="1"/>
  <c r="F492" i="1" a="1"/>
  <c r="F492" i="1"/>
  <c r="G492" i="1" s="1" a="1"/>
  <c r="G492" i="1" s="1"/>
  <c r="F493" i="1" a="1"/>
  <c r="F493" i="1"/>
  <c r="G493" i="1" s="1" a="1"/>
  <c r="G493" i="1" s="1"/>
  <c r="F494" i="1" a="1"/>
  <c r="F494" i="1" s="1"/>
  <c r="G494" i="1" s="1" a="1"/>
  <c r="G494" i="1" s="1"/>
  <c r="F495" i="1" a="1"/>
  <c r="F495" i="1" s="1"/>
  <c r="G495" i="1" s="1" a="1"/>
  <c r="G495" i="1" s="1"/>
  <c r="F496" i="1" a="1"/>
  <c r="F496" i="1" s="1"/>
  <c r="G496" i="1" s="1" a="1"/>
  <c r="G496" i="1" s="1"/>
  <c r="F497" i="1" a="1"/>
  <c r="F497" i="1" s="1"/>
  <c r="G497" i="1" s="1" a="1"/>
  <c r="G497" i="1" s="1"/>
  <c r="F498" i="1" a="1"/>
  <c r="F498" i="1" s="1"/>
  <c r="G498" i="1" s="1" a="1"/>
  <c r="G498" i="1" s="1"/>
  <c r="F499" i="1" a="1"/>
  <c r="F499" i="1" s="1"/>
  <c r="G499" i="1" s="1" a="1"/>
  <c r="G499" i="1" s="1"/>
  <c r="F500" i="1" a="1"/>
  <c r="F500" i="1" s="1"/>
  <c r="G500" i="1" s="1" a="1"/>
  <c r="G500" i="1" s="1"/>
  <c r="F501" i="1" a="1"/>
  <c r="F501" i="1" s="1"/>
  <c r="G501" i="1" s="1" a="1"/>
  <c r="G501" i="1" s="1"/>
  <c r="F502" i="1" a="1"/>
  <c r="F502" i="1" s="1"/>
  <c r="G502" i="1" s="1" a="1"/>
  <c r="G502" i="1" s="1"/>
  <c r="F503" i="1" a="1"/>
  <c r="F503" i="1" s="1"/>
  <c r="G503" i="1" s="1" a="1"/>
  <c r="G503" i="1" s="1"/>
  <c r="F504" i="1" a="1"/>
  <c r="F504" i="1"/>
  <c r="G504" i="1" s="1" a="1"/>
  <c r="G504" i="1" s="1"/>
  <c r="F505" i="1" a="1"/>
  <c r="F505" i="1" s="1"/>
  <c r="G505" i="1" s="1" a="1"/>
  <c r="G505" i="1" s="1"/>
  <c r="F506" i="1" a="1"/>
  <c r="F506" i="1" s="1"/>
  <c r="G506" i="1" s="1" a="1"/>
  <c r="G506" i="1" s="1"/>
  <c r="F507" i="1" a="1"/>
  <c r="F507" i="1" s="1"/>
  <c r="G507" i="1" s="1" a="1"/>
  <c r="G507" i="1" s="1"/>
  <c r="F508" i="1" a="1"/>
  <c r="F508" i="1" s="1"/>
  <c r="G508" i="1" s="1" a="1"/>
  <c r="G508" i="1" s="1"/>
  <c r="F509" i="1" a="1"/>
  <c r="F509" i="1" s="1"/>
  <c r="G509" i="1" s="1" a="1"/>
  <c r="G509" i="1" s="1"/>
  <c r="F510" i="1" a="1"/>
  <c r="F510" i="1" s="1"/>
  <c r="G510" i="1" s="1" a="1"/>
  <c r="G510" i="1" s="1"/>
  <c r="F511" i="1" a="1"/>
  <c r="F511" i="1" s="1"/>
  <c r="G511" i="1" s="1" a="1"/>
  <c r="G511" i="1" s="1"/>
  <c r="F512" i="1" a="1"/>
  <c r="F512" i="1" s="1"/>
  <c r="G512" i="1" s="1" a="1"/>
  <c r="G512" i="1" s="1"/>
  <c r="F513" i="1" a="1"/>
  <c r="F513" i="1" s="1"/>
  <c r="G513" i="1" s="1" a="1"/>
  <c r="G513" i="1" s="1"/>
  <c r="F514" i="1" a="1"/>
  <c r="F514" i="1" s="1"/>
  <c r="G514" i="1" s="1" a="1"/>
  <c r="G514" i="1" s="1"/>
  <c r="F515" i="1" a="1"/>
  <c r="F515" i="1" s="1"/>
  <c r="G515" i="1" s="1" a="1"/>
  <c r="G515" i="1" s="1"/>
  <c r="F516" i="1" a="1"/>
  <c r="F516" i="1" s="1"/>
  <c r="G516" i="1" s="1" a="1"/>
  <c r="G516" i="1" s="1"/>
  <c r="F517" i="1" a="1"/>
  <c r="F517" i="1" s="1"/>
  <c r="G517" i="1" s="1" a="1"/>
  <c r="G517" i="1" s="1"/>
  <c r="F518" i="1" a="1"/>
  <c r="F518" i="1" s="1"/>
  <c r="G518" i="1" s="1" a="1"/>
  <c r="G518" i="1" s="1"/>
  <c r="F519" i="1" a="1"/>
  <c r="F519" i="1" s="1"/>
  <c r="G519" i="1" s="1" a="1"/>
  <c r="G519" i="1" s="1"/>
  <c r="F520" i="1" a="1"/>
  <c r="F520" i="1" s="1"/>
  <c r="G520" i="1" s="1" a="1"/>
  <c r="G520" i="1" s="1"/>
  <c r="F521" i="1" a="1"/>
  <c r="F521" i="1" s="1"/>
  <c r="G521" i="1" s="1" a="1"/>
  <c r="G521" i="1" s="1"/>
  <c r="F522" i="1" a="1"/>
  <c r="F522" i="1" s="1"/>
  <c r="G522" i="1" s="1" a="1"/>
  <c r="G522" i="1" s="1"/>
  <c r="F523" i="1" a="1"/>
  <c r="F523" i="1" s="1"/>
  <c r="G523" i="1" s="1" a="1"/>
  <c r="G523" i="1" s="1"/>
  <c r="F524" i="1" a="1"/>
  <c r="F524" i="1" s="1"/>
  <c r="G524" i="1" s="1" a="1"/>
  <c r="G524" i="1" s="1"/>
  <c r="F525" i="1" a="1"/>
  <c r="F525" i="1" s="1"/>
  <c r="G525" i="1" s="1" a="1"/>
  <c r="G525" i="1" s="1"/>
  <c r="F526" i="1" a="1"/>
  <c r="F526" i="1" s="1"/>
  <c r="G526" i="1" s="1" a="1"/>
  <c r="G526" i="1" s="1"/>
  <c r="F527" i="1" a="1"/>
  <c r="F527" i="1" s="1"/>
  <c r="G527" i="1" s="1" a="1"/>
  <c r="G527" i="1" s="1"/>
  <c r="F528" i="1" a="1"/>
  <c r="F528" i="1" s="1"/>
  <c r="G528" i="1" s="1" a="1"/>
  <c r="G528" i="1" s="1"/>
  <c r="F529" i="1" a="1"/>
  <c r="F529" i="1" s="1"/>
  <c r="G529" i="1" s="1" a="1"/>
  <c r="G529" i="1" s="1"/>
  <c r="F530" i="1" a="1"/>
  <c r="F530" i="1" s="1"/>
  <c r="G530" i="1" s="1" a="1"/>
  <c r="G530" i="1" s="1"/>
  <c r="F531" i="1" a="1"/>
  <c r="F531" i="1" s="1"/>
  <c r="G531" i="1" s="1" a="1"/>
  <c r="G531" i="1" s="1"/>
  <c r="F532" i="1" a="1"/>
  <c r="F532" i="1" s="1"/>
  <c r="G532" i="1" s="1" a="1"/>
  <c r="G532" i="1" s="1"/>
  <c r="F533" i="1" a="1"/>
  <c r="F533" i="1" s="1"/>
  <c r="G533" i="1" s="1" a="1"/>
  <c r="G533" i="1" s="1"/>
  <c r="F534" i="1" a="1"/>
  <c r="F534" i="1" s="1"/>
  <c r="G534" i="1" s="1" a="1"/>
  <c r="G534" i="1" s="1"/>
  <c r="F535" i="1" a="1"/>
  <c r="F535" i="1" s="1"/>
  <c r="G535" i="1" s="1" a="1"/>
  <c r="G535" i="1" s="1"/>
  <c r="F536" i="1" a="1"/>
  <c r="F536" i="1" s="1"/>
  <c r="G536" i="1" s="1" a="1"/>
  <c r="G536" i="1" s="1"/>
  <c r="F537" i="1" a="1"/>
  <c r="F537" i="1" s="1"/>
  <c r="G537" i="1" s="1" a="1"/>
  <c r="G537" i="1" s="1"/>
  <c r="F538" i="1" a="1"/>
  <c r="F538" i="1" s="1"/>
  <c r="G538" i="1" s="1" a="1"/>
  <c r="G538" i="1" s="1"/>
  <c r="F539" i="1" a="1"/>
  <c r="F539" i="1" s="1"/>
  <c r="G539" i="1" s="1" a="1"/>
  <c r="G539" i="1" s="1"/>
  <c r="F540" i="1" a="1"/>
  <c r="F540" i="1" s="1"/>
  <c r="G540" i="1" s="1" a="1"/>
  <c r="G540" i="1" s="1"/>
  <c r="F541" i="1" a="1"/>
  <c r="F541" i="1" s="1"/>
  <c r="G541" i="1" s="1" a="1"/>
  <c r="G541" i="1" s="1"/>
  <c r="F542" i="1" a="1"/>
  <c r="F542" i="1" s="1"/>
  <c r="G542" i="1" s="1" a="1"/>
  <c r="G542" i="1" s="1"/>
  <c r="F543" i="1" a="1"/>
  <c r="F543" i="1" s="1"/>
  <c r="G543" i="1" s="1" a="1"/>
  <c r="G543" i="1" s="1"/>
  <c r="F544" i="1" a="1"/>
  <c r="F544" i="1" s="1"/>
  <c r="G544" i="1" s="1" a="1"/>
  <c r="G544" i="1" s="1"/>
  <c r="F545" i="1" a="1"/>
  <c r="F545" i="1" s="1"/>
  <c r="G545" i="1" s="1" a="1"/>
  <c r="G545" i="1" s="1"/>
  <c r="F546" i="1" a="1"/>
  <c r="F546" i="1" s="1"/>
  <c r="G546" i="1" s="1" a="1"/>
  <c r="G546" i="1" s="1"/>
  <c r="F547" i="1" a="1"/>
  <c r="F547" i="1" s="1"/>
  <c r="G547" i="1" s="1" a="1"/>
  <c r="G547" i="1" s="1"/>
  <c r="F548" i="1" a="1"/>
  <c r="F548" i="1" s="1"/>
  <c r="G548" i="1" s="1" a="1"/>
  <c r="G548" i="1" s="1"/>
  <c r="F549" i="1" a="1"/>
  <c r="F549" i="1" s="1"/>
  <c r="G549" i="1" s="1" a="1"/>
  <c r="G549" i="1" s="1"/>
  <c r="F550" i="1" a="1"/>
  <c r="F550" i="1" s="1"/>
  <c r="G550" i="1" s="1" a="1"/>
  <c r="G550" i="1" s="1"/>
  <c r="F551" i="1" a="1"/>
  <c r="F551" i="1" s="1"/>
  <c r="G551" i="1" s="1" a="1"/>
  <c r="G551" i="1" s="1"/>
  <c r="F552" i="1" a="1"/>
  <c r="F552" i="1" s="1"/>
  <c r="G552" i="1" s="1" a="1"/>
  <c r="G552" i="1" s="1"/>
  <c r="F553" i="1" a="1"/>
  <c r="F553" i="1" s="1"/>
  <c r="G553" i="1" s="1" a="1"/>
  <c r="G553" i="1" s="1"/>
  <c r="F554" i="1" a="1"/>
  <c r="F554" i="1" s="1"/>
  <c r="G554" i="1" s="1" a="1"/>
  <c r="G554" i="1" s="1"/>
  <c r="F555" i="1" a="1"/>
  <c r="F555" i="1" s="1"/>
  <c r="G555" i="1" s="1" a="1"/>
  <c r="G555" i="1" s="1"/>
  <c r="F556" i="1" a="1"/>
  <c r="F556" i="1" s="1"/>
  <c r="G556" i="1" s="1" a="1"/>
  <c r="G556" i="1" s="1"/>
  <c r="F557" i="1" a="1"/>
  <c r="F557" i="1" s="1"/>
  <c r="G557" i="1" s="1" a="1"/>
  <c r="G557" i="1" s="1"/>
  <c r="F558" i="1" a="1"/>
  <c r="F558" i="1" s="1"/>
  <c r="G558" i="1" s="1" a="1"/>
  <c r="G558" i="1" s="1"/>
  <c r="F559" i="1" a="1"/>
  <c r="F559" i="1"/>
  <c r="G559" i="1" s="1" a="1"/>
  <c r="G559" i="1" s="1"/>
  <c r="F560" i="1" a="1"/>
  <c r="F560" i="1" s="1"/>
  <c r="G560" i="1" s="1" a="1"/>
  <c r="G560" i="1" s="1"/>
  <c r="F561" i="1" a="1"/>
  <c r="F561" i="1" s="1"/>
  <c r="G561" i="1" s="1" a="1"/>
  <c r="G561" i="1" s="1"/>
  <c r="F562" i="1" a="1"/>
  <c r="F562" i="1" s="1"/>
  <c r="G562" i="1" s="1" a="1"/>
  <c r="G562" i="1" s="1"/>
  <c r="F563" i="1" a="1"/>
  <c r="F563" i="1" s="1"/>
  <c r="G563" i="1" s="1" a="1"/>
  <c r="G563" i="1" s="1"/>
  <c r="F564" i="1" a="1"/>
  <c r="F564" i="1" s="1"/>
  <c r="G564" i="1" s="1" a="1"/>
  <c r="G564" i="1" s="1"/>
  <c r="F565" i="1" a="1"/>
  <c r="F565" i="1" s="1"/>
  <c r="G565" i="1" s="1" a="1"/>
  <c r="G565" i="1" s="1"/>
  <c r="F566" i="1" a="1"/>
  <c r="F566" i="1" s="1"/>
  <c r="G566" i="1" s="1" a="1"/>
  <c r="G566" i="1" s="1"/>
  <c r="F567" i="1" a="1"/>
  <c r="F567" i="1" s="1"/>
  <c r="G567" i="1" s="1" a="1"/>
  <c r="G567" i="1" s="1"/>
  <c r="F568" i="1" a="1"/>
  <c r="F568" i="1" s="1"/>
  <c r="G568" i="1" s="1" a="1"/>
  <c r="G568" i="1" s="1"/>
  <c r="F569" i="1" a="1"/>
  <c r="F569" i="1" s="1"/>
  <c r="G569" i="1" s="1" a="1"/>
  <c r="G569" i="1" s="1"/>
  <c r="F570" i="1" a="1"/>
  <c r="F570" i="1" s="1"/>
  <c r="G570" i="1" s="1" a="1"/>
  <c r="G570" i="1" s="1"/>
  <c r="F571" i="1" a="1"/>
  <c r="F571" i="1" s="1"/>
  <c r="G571" i="1" s="1" a="1"/>
  <c r="G571" i="1" s="1"/>
  <c r="F572" i="1" a="1"/>
  <c r="F572" i="1" s="1"/>
  <c r="G572" i="1" s="1" a="1"/>
  <c r="G572" i="1" s="1"/>
  <c r="F573" i="1" a="1"/>
  <c r="F573" i="1" s="1"/>
  <c r="G573" i="1" s="1" a="1"/>
  <c r="G573" i="1" s="1"/>
  <c r="F574" i="1" a="1"/>
  <c r="F574" i="1" s="1"/>
  <c r="G574" i="1" s="1" a="1"/>
  <c r="G574" i="1" s="1"/>
  <c r="F575" i="1" a="1"/>
  <c r="F575" i="1" s="1"/>
  <c r="G575" i="1" s="1" a="1"/>
  <c r="G575" i="1" s="1"/>
  <c r="F576" i="1" a="1"/>
  <c r="F576" i="1" s="1"/>
  <c r="G576" i="1" s="1" a="1"/>
  <c r="G576" i="1" s="1"/>
  <c r="F577" i="1" a="1"/>
  <c r="F577" i="1" s="1"/>
  <c r="G577" i="1" s="1" a="1"/>
  <c r="G577" i="1" s="1"/>
  <c r="F578" i="1" a="1"/>
  <c r="F578" i="1"/>
  <c r="G578" i="1" s="1" a="1"/>
  <c r="G578" i="1" s="1"/>
  <c r="F579" i="1" a="1"/>
  <c r="F579" i="1" s="1"/>
  <c r="G579" i="1" s="1" a="1"/>
  <c r="G579" i="1" s="1"/>
  <c r="F580" i="1" a="1"/>
  <c r="F580" i="1" s="1"/>
  <c r="G580" i="1" s="1" a="1"/>
  <c r="G580" i="1" s="1"/>
  <c r="F581" i="1" a="1"/>
  <c r="F581" i="1" s="1"/>
  <c r="G581" i="1" s="1" a="1"/>
  <c r="G581" i="1" s="1"/>
  <c r="F582" i="1" a="1"/>
  <c r="F582" i="1" s="1"/>
  <c r="G582" i="1" s="1" a="1"/>
  <c r="G582" i="1" s="1"/>
  <c r="F583" i="1" a="1"/>
  <c r="F583" i="1" s="1"/>
  <c r="G583" i="1" s="1" a="1"/>
  <c r="G583" i="1" s="1"/>
  <c r="F584" i="1" a="1"/>
  <c r="F584" i="1" s="1"/>
  <c r="G584" i="1" s="1" a="1"/>
  <c r="G584" i="1" s="1"/>
  <c r="F585" i="1" a="1"/>
  <c r="F585" i="1" s="1"/>
  <c r="G585" i="1" s="1" a="1"/>
  <c r="G585" i="1" s="1"/>
  <c r="F586" i="1" a="1"/>
  <c r="F586" i="1" s="1"/>
  <c r="G586" i="1" s="1" a="1"/>
  <c r="G586" i="1" s="1"/>
  <c r="F587" i="1" a="1"/>
  <c r="F587" i="1" s="1"/>
  <c r="G587" i="1" s="1" a="1"/>
  <c r="G587" i="1" s="1"/>
  <c r="F588" i="1" a="1"/>
  <c r="F588" i="1" s="1"/>
  <c r="G588" i="1" s="1" a="1"/>
  <c r="G588" i="1" s="1"/>
  <c r="F589" i="1" a="1"/>
  <c r="F589" i="1" s="1"/>
  <c r="G589" i="1" s="1" a="1"/>
  <c r="G589" i="1" s="1"/>
  <c r="F590" i="1" a="1"/>
  <c r="F590" i="1" s="1"/>
  <c r="G590" i="1" s="1" a="1"/>
  <c r="G590" i="1" s="1"/>
  <c r="F591" i="1" a="1"/>
  <c r="F591" i="1" s="1"/>
  <c r="G591" i="1" s="1" a="1"/>
  <c r="G591" i="1" s="1"/>
  <c r="F592" i="1" a="1"/>
  <c r="F592" i="1" s="1"/>
  <c r="G592" i="1" s="1" a="1"/>
  <c r="G592" i="1" s="1"/>
  <c r="F593" i="1" a="1"/>
  <c r="F593" i="1" s="1"/>
  <c r="G593" i="1" s="1" a="1"/>
  <c r="G593" i="1" s="1"/>
  <c r="F594" i="1" a="1"/>
  <c r="F594" i="1" s="1"/>
  <c r="G594" i="1" s="1" a="1"/>
  <c r="G594" i="1" s="1"/>
  <c r="F595" i="1" a="1"/>
  <c r="F595" i="1" s="1"/>
  <c r="G595" i="1" s="1" a="1"/>
  <c r="G595" i="1" s="1"/>
  <c r="F596" i="1" a="1"/>
  <c r="F596" i="1" s="1"/>
  <c r="G596" i="1" s="1" a="1"/>
  <c r="G596" i="1" s="1"/>
  <c r="F597" i="1" a="1"/>
  <c r="F597" i="1" s="1"/>
  <c r="G597" i="1" s="1" a="1"/>
  <c r="G597" i="1" s="1"/>
  <c r="F598" i="1" a="1"/>
  <c r="F598" i="1" s="1"/>
  <c r="G598" i="1" s="1" a="1"/>
  <c r="G598" i="1" s="1"/>
  <c r="F599" i="1" a="1"/>
  <c r="F599" i="1" s="1"/>
  <c r="G599" i="1" s="1" a="1"/>
  <c r="G599" i="1" s="1"/>
  <c r="F600" i="1" a="1"/>
  <c r="F600" i="1" s="1"/>
  <c r="G600" i="1" s="1" a="1"/>
  <c r="G600" i="1" s="1"/>
  <c r="F601" i="1" a="1"/>
  <c r="F601" i="1" s="1"/>
  <c r="G601" i="1" s="1" a="1"/>
  <c r="G601" i="1" s="1"/>
  <c r="F602" i="1" a="1"/>
  <c r="F602" i="1" s="1"/>
  <c r="G602" i="1" s="1" a="1"/>
  <c r="G602" i="1" s="1"/>
  <c r="F603" i="1" a="1"/>
  <c r="F603" i="1" s="1"/>
  <c r="G603" i="1" s="1" a="1"/>
  <c r="G603" i="1" s="1"/>
  <c r="F604" i="1" a="1"/>
  <c r="F604" i="1" s="1"/>
  <c r="G604" i="1" s="1" a="1"/>
  <c r="G604" i="1" s="1"/>
  <c r="F605" i="1" a="1"/>
  <c r="F605" i="1" s="1"/>
  <c r="G605" i="1" s="1" a="1"/>
  <c r="G605" i="1" s="1"/>
  <c r="F606" i="1" a="1"/>
  <c r="F606" i="1" s="1"/>
  <c r="G606" i="1" s="1" a="1"/>
  <c r="G606" i="1" s="1"/>
  <c r="F607" i="1" a="1"/>
  <c r="F607" i="1" s="1"/>
  <c r="G607" i="1" s="1" a="1"/>
  <c r="G607" i="1" s="1"/>
  <c r="F608" i="1" a="1"/>
  <c r="F608" i="1" s="1"/>
  <c r="G608" i="1" s="1" a="1"/>
  <c r="G608" i="1" s="1"/>
  <c r="F609" i="1" a="1"/>
  <c r="F609" i="1"/>
  <c r="G609" i="1" s="1" a="1"/>
  <c r="G609" i="1" s="1"/>
  <c r="F610" i="1" a="1"/>
  <c r="F610" i="1" s="1"/>
  <c r="G610" i="1" s="1" a="1"/>
  <c r="G610" i="1" s="1"/>
  <c r="F611" i="1" a="1"/>
  <c r="F611" i="1" s="1"/>
  <c r="G611" i="1" s="1" a="1"/>
  <c r="G611" i="1" s="1"/>
  <c r="F612" i="1" a="1"/>
  <c r="F612" i="1" s="1"/>
  <c r="G612" i="1" s="1" a="1"/>
  <c r="G612" i="1" s="1"/>
  <c r="F613" i="1" a="1"/>
  <c r="F613" i="1" s="1"/>
  <c r="G613" i="1" s="1" a="1"/>
  <c r="G613" i="1" s="1"/>
  <c r="F614" i="1" a="1"/>
  <c r="F614" i="1" s="1"/>
  <c r="G614" i="1" s="1" a="1"/>
  <c r="G614" i="1" s="1"/>
  <c r="F615" i="1" a="1"/>
  <c r="F615" i="1" s="1"/>
  <c r="G615" i="1" s="1" a="1"/>
  <c r="G615" i="1" s="1"/>
  <c r="F616" i="1" a="1"/>
  <c r="F616" i="1" s="1"/>
  <c r="G616" i="1" s="1" a="1"/>
  <c r="G616" i="1" s="1"/>
  <c r="F617" i="1" a="1"/>
  <c r="F617" i="1" s="1"/>
  <c r="G617" i="1" s="1" a="1"/>
  <c r="G617" i="1" s="1"/>
  <c r="F618" i="1" a="1"/>
  <c r="F618" i="1" s="1"/>
  <c r="G618" i="1" s="1" a="1"/>
  <c r="G618" i="1" s="1"/>
  <c r="F619" i="1" a="1"/>
  <c r="F619" i="1" s="1"/>
  <c r="G619" i="1" s="1" a="1"/>
  <c r="G619" i="1" s="1"/>
  <c r="F620" i="1" a="1"/>
  <c r="F620" i="1" s="1"/>
  <c r="G620" i="1" s="1" a="1"/>
  <c r="G620" i="1" s="1"/>
  <c r="F621" i="1" a="1"/>
  <c r="F621" i="1"/>
  <c r="G621" i="1" s="1" a="1"/>
  <c r="G621" i="1" s="1"/>
  <c r="F622" i="1" a="1"/>
  <c r="F622" i="1"/>
  <c r="G622" i="1" s="1" a="1"/>
  <c r="G622" i="1" s="1"/>
  <c r="F623" i="1" a="1"/>
  <c r="F623" i="1" s="1"/>
  <c r="G623" i="1" s="1" a="1"/>
  <c r="G623" i="1" s="1"/>
  <c r="F624" i="1" a="1"/>
  <c r="F624" i="1" s="1"/>
  <c r="G624" i="1" s="1" a="1"/>
  <c r="G624" i="1" s="1"/>
  <c r="F625" i="1" a="1"/>
  <c r="F625" i="1" s="1"/>
  <c r="G625" i="1" s="1" a="1"/>
  <c r="G625" i="1" s="1"/>
  <c r="F626" i="1" a="1"/>
  <c r="F626" i="1" s="1"/>
  <c r="G626" i="1" s="1" a="1"/>
  <c r="G626" i="1" s="1"/>
  <c r="F627" i="1" a="1"/>
  <c r="F627" i="1" s="1"/>
  <c r="G627" i="1" s="1" a="1"/>
  <c r="G627" i="1" s="1"/>
  <c r="F628" i="1" a="1"/>
  <c r="F628" i="1" s="1"/>
  <c r="G628" i="1" s="1" a="1"/>
  <c r="G628" i="1" s="1"/>
  <c r="F629" i="1" a="1"/>
  <c r="F629" i="1" s="1"/>
  <c r="G629" i="1" s="1" a="1"/>
  <c r="G629" i="1" s="1"/>
  <c r="F630" i="1" a="1"/>
  <c r="F630" i="1"/>
  <c r="G630" i="1" s="1" a="1"/>
  <c r="G630" i="1" s="1"/>
  <c r="F631" i="1" a="1"/>
  <c r="F631" i="1" s="1"/>
  <c r="G631" i="1" s="1" a="1"/>
  <c r="G631" i="1" s="1"/>
  <c r="F632" i="1" a="1"/>
  <c r="F632" i="1" s="1"/>
  <c r="G632" i="1" s="1" a="1"/>
  <c r="G632" i="1" s="1"/>
  <c r="F633" i="1" a="1"/>
  <c r="F633" i="1" s="1"/>
  <c r="G633" i="1" s="1" a="1"/>
  <c r="G633" i="1" s="1"/>
  <c r="F634" i="1" a="1"/>
  <c r="F634" i="1" s="1"/>
  <c r="G634" i="1" s="1" a="1"/>
  <c r="G634" i="1" s="1"/>
  <c r="F635" i="1" a="1"/>
  <c r="F635" i="1" s="1"/>
  <c r="G635" i="1" s="1" a="1"/>
  <c r="G635" i="1" s="1"/>
  <c r="F636" i="1" a="1"/>
  <c r="F636" i="1" s="1"/>
  <c r="G636" i="1" s="1" a="1"/>
  <c r="G636" i="1" s="1"/>
  <c r="F637" i="1" a="1"/>
  <c r="F637" i="1" s="1"/>
  <c r="G637" i="1" s="1" a="1"/>
  <c r="G637" i="1" s="1"/>
  <c r="F638" i="1" a="1"/>
  <c r="F638" i="1" s="1"/>
  <c r="G638" i="1" s="1" a="1"/>
  <c r="G638" i="1" s="1"/>
  <c r="F639" i="1" a="1"/>
  <c r="F639" i="1" s="1"/>
  <c r="G639" i="1" s="1" a="1"/>
  <c r="G639" i="1" s="1"/>
  <c r="F640" i="1" a="1"/>
  <c r="F640" i="1" s="1"/>
  <c r="G640" i="1" s="1" a="1"/>
  <c r="G640" i="1" s="1"/>
  <c r="F641" i="1" a="1"/>
  <c r="F641" i="1" s="1"/>
  <c r="G641" i="1" s="1" a="1"/>
  <c r="G641" i="1" s="1"/>
  <c r="F642" i="1" a="1"/>
  <c r="F642" i="1" s="1"/>
  <c r="G642" i="1" s="1" a="1"/>
  <c r="G642" i="1" s="1"/>
  <c r="F643" i="1" a="1"/>
  <c r="F643" i="1" s="1"/>
  <c r="G643" i="1" s="1" a="1"/>
  <c r="G643" i="1" s="1"/>
  <c r="F644" i="1" a="1"/>
  <c r="F644" i="1" s="1"/>
  <c r="G644" i="1" s="1" a="1"/>
  <c r="G644" i="1" s="1"/>
  <c r="F645" i="1" a="1"/>
  <c r="F645" i="1" s="1"/>
  <c r="G645" i="1" s="1" a="1"/>
  <c r="G645" i="1" s="1"/>
  <c r="F646" i="1" a="1"/>
  <c r="F646" i="1" s="1"/>
  <c r="G646" i="1" s="1" a="1"/>
  <c r="G646" i="1" s="1"/>
  <c r="F647" i="1" a="1"/>
  <c r="F647" i="1" s="1"/>
  <c r="G647" i="1" s="1" a="1"/>
  <c r="G647" i="1" s="1"/>
  <c r="F648" i="1" a="1"/>
  <c r="F648" i="1" s="1"/>
  <c r="G648" i="1" s="1" a="1"/>
  <c r="G648" i="1" s="1"/>
  <c r="F649" i="1" a="1"/>
  <c r="F649" i="1" s="1"/>
  <c r="G649" i="1" s="1" a="1"/>
  <c r="G649" i="1" s="1"/>
  <c r="F650" i="1" a="1"/>
  <c r="F650" i="1" s="1"/>
  <c r="G650" i="1" s="1" a="1"/>
  <c r="G650" i="1" s="1"/>
  <c r="F651" i="1" a="1"/>
  <c r="F651" i="1" s="1"/>
  <c r="G651" i="1" s="1" a="1"/>
  <c r="G651" i="1" s="1"/>
  <c r="F652" i="1" a="1"/>
  <c r="F652" i="1" s="1"/>
  <c r="G652" i="1" s="1" a="1"/>
  <c r="G652" i="1" s="1"/>
  <c r="F653" i="1" a="1"/>
  <c r="F653" i="1" s="1"/>
  <c r="G653" i="1" s="1" a="1"/>
  <c r="G653" i="1" s="1"/>
  <c r="F654" i="1" a="1"/>
  <c r="F654" i="1" s="1"/>
  <c r="G654" i="1" s="1" a="1"/>
  <c r="G654" i="1" s="1"/>
  <c r="F655" i="1" a="1"/>
  <c r="F655" i="1" s="1"/>
  <c r="G655" i="1" s="1" a="1"/>
  <c r="G655" i="1" s="1"/>
  <c r="F656" i="1" a="1"/>
  <c r="F656" i="1" s="1"/>
  <c r="G656" i="1" s="1" a="1"/>
  <c r="G656" i="1" s="1"/>
  <c r="F657" i="1" a="1"/>
  <c r="F657" i="1" s="1"/>
  <c r="G657" i="1" s="1" a="1"/>
  <c r="G657" i="1" s="1"/>
  <c r="F658" i="1" a="1"/>
  <c r="F658" i="1" s="1"/>
  <c r="G658" i="1" s="1" a="1"/>
  <c r="G658" i="1" s="1"/>
  <c r="F659" i="1" a="1"/>
  <c r="F659" i="1" s="1"/>
  <c r="G659" i="1" s="1" a="1"/>
  <c r="G659" i="1" s="1"/>
  <c r="F660" i="1" a="1"/>
  <c r="F660" i="1" s="1"/>
  <c r="G660" i="1" s="1" a="1"/>
  <c r="G660" i="1" s="1"/>
  <c r="F661" i="1" a="1"/>
  <c r="F661" i="1" s="1"/>
  <c r="G661" i="1" s="1" a="1"/>
  <c r="G661" i="1" s="1"/>
  <c r="F662" i="1" a="1"/>
  <c r="F662" i="1" s="1"/>
  <c r="G662" i="1" s="1" a="1"/>
  <c r="G662" i="1" s="1"/>
  <c r="F663" i="1" a="1"/>
  <c r="F663" i="1" s="1"/>
  <c r="G663" i="1" s="1" a="1"/>
  <c r="G663" i="1" s="1"/>
  <c r="F664" i="1" a="1"/>
  <c r="F664" i="1" s="1"/>
  <c r="G664" i="1" s="1" a="1"/>
  <c r="G664" i="1" s="1"/>
  <c r="F665" i="1" a="1"/>
  <c r="F665" i="1" s="1"/>
  <c r="G665" i="1" s="1" a="1"/>
  <c r="G665" i="1" s="1"/>
  <c r="F666" i="1" a="1"/>
  <c r="F666" i="1" s="1"/>
  <c r="G666" i="1" s="1" a="1"/>
  <c r="G666" i="1" s="1"/>
  <c r="F667" i="1" a="1"/>
  <c r="F667" i="1" s="1"/>
  <c r="G667" i="1" s="1" a="1"/>
  <c r="G667" i="1" s="1"/>
  <c r="F668" i="1" a="1"/>
  <c r="F668" i="1" s="1"/>
  <c r="G668" i="1" s="1" a="1"/>
  <c r="G668" i="1" s="1"/>
  <c r="F669" i="1" a="1"/>
  <c r="F669" i="1" s="1"/>
  <c r="G669" i="1" s="1" a="1"/>
  <c r="G669" i="1" s="1"/>
  <c r="F670" i="1" a="1"/>
  <c r="F670" i="1" s="1"/>
  <c r="G670" i="1" s="1" a="1"/>
  <c r="G670" i="1" s="1"/>
  <c r="F671" i="1" a="1"/>
  <c r="F671" i="1" s="1"/>
  <c r="G671" i="1" s="1" a="1"/>
  <c r="G671" i="1" s="1"/>
  <c r="F672" i="1" a="1"/>
  <c r="F672" i="1" s="1"/>
  <c r="G672" i="1" s="1" a="1"/>
  <c r="G672" i="1" s="1"/>
  <c r="F673" i="1" a="1"/>
  <c r="F673" i="1" s="1"/>
  <c r="G673" i="1" s="1" a="1"/>
  <c r="G673" i="1" s="1"/>
  <c r="F674" i="1" a="1"/>
  <c r="F674" i="1" s="1"/>
  <c r="G674" i="1" s="1" a="1"/>
  <c r="G674" i="1" s="1"/>
  <c r="F675" i="1" a="1"/>
  <c r="F675" i="1" s="1"/>
  <c r="G675" i="1" s="1" a="1"/>
  <c r="G675" i="1" s="1"/>
  <c r="F676" i="1" a="1"/>
  <c r="F676" i="1" s="1"/>
  <c r="G676" i="1" s="1" a="1"/>
  <c r="G676" i="1" s="1"/>
  <c r="F677" i="1" a="1"/>
  <c r="F677" i="1" s="1"/>
  <c r="G677" i="1" s="1" a="1"/>
  <c r="G677" i="1" s="1"/>
  <c r="F678" i="1" a="1"/>
  <c r="F678" i="1" s="1"/>
  <c r="G678" i="1" s="1" a="1"/>
  <c r="G678" i="1" s="1"/>
  <c r="F679" i="1" a="1"/>
  <c r="F679" i="1" s="1"/>
  <c r="G679" i="1" s="1" a="1"/>
  <c r="G679" i="1" s="1"/>
  <c r="F680" i="1" a="1"/>
  <c r="F680" i="1" s="1"/>
  <c r="G680" i="1" s="1" a="1"/>
  <c r="G680" i="1" s="1"/>
  <c r="F681" i="1" a="1"/>
  <c r="F681" i="1" s="1"/>
  <c r="G681" i="1" s="1" a="1"/>
  <c r="G681" i="1" s="1"/>
  <c r="F682" i="1" a="1"/>
  <c r="F682" i="1" s="1"/>
  <c r="G682" i="1" s="1" a="1"/>
  <c r="G682" i="1" s="1"/>
  <c r="F683" i="1" a="1"/>
  <c r="F683" i="1" s="1"/>
  <c r="G683" i="1" s="1" a="1"/>
  <c r="G683" i="1" s="1"/>
  <c r="F684" i="1" a="1"/>
  <c r="F684" i="1" s="1"/>
  <c r="G684" i="1" s="1" a="1"/>
  <c r="G684" i="1" s="1"/>
  <c r="F685" i="1" a="1"/>
  <c r="F685" i="1" s="1"/>
  <c r="G685" i="1" s="1" a="1"/>
  <c r="G685" i="1" s="1"/>
  <c r="F686" i="1" a="1"/>
  <c r="F686" i="1" s="1"/>
  <c r="G686" i="1" s="1" a="1"/>
  <c r="G686" i="1" s="1"/>
  <c r="F687" i="1" a="1"/>
  <c r="F687" i="1" s="1"/>
  <c r="G687" i="1" s="1" a="1"/>
  <c r="G687" i="1" s="1"/>
  <c r="F688" i="1" a="1"/>
  <c r="F688" i="1" s="1"/>
  <c r="G688" i="1" s="1" a="1"/>
  <c r="G688" i="1" s="1"/>
  <c r="F689" i="1" a="1"/>
  <c r="F689" i="1" s="1"/>
  <c r="G689" i="1" s="1" a="1"/>
  <c r="G689" i="1" s="1"/>
  <c r="F690" i="1" a="1"/>
  <c r="F690" i="1" s="1"/>
  <c r="G690" i="1" s="1" a="1"/>
  <c r="G690" i="1" s="1"/>
  <c r="F691" i="1" a="1"/>
  <c r="F691" i="1" s="1"/>
  <c r="G691" i="1" s="1" a="1"/>
  <c r="G691" i="1" s="1"/>
  <c r="F692" i="1" a="1"/>
  <c r="F692" i="1" s="1"/>
  <c r="G692" i="1" s="1" a="1"/>
  <c r="G692" i="1" s="1"/>
  <c r="F693" i="1" a="1"/>
  <c r="F693" i="1" s="1"/>
  <c r="G693" i="1" s="1" a="1"/>
  <c r="G693" i="1" s="1"/>
  <c r="F694" i="1" a="1"/>
  <c r="F694" i="1" s="1"/>
  <c r="G694" i="1" s="1" a="1"/>
  <c r="G694" i="1" s="1"/>
  <c r="F695" i="1" a="1"/>
  <c r="F695" i="1" s="1"/>
  <c r="G695" i="1" s="1" a="1"/>
  <c r="G695" i="1" s="1"/>
  <c r="F696" i="1" a="1"/>
  <c r="F696" i="1"/>
  <c r="G696" i="1" s="1" a="1"/>
  <c r="G696" i="1" s="1"/>
  <c r="F697" i="1" a="1"/>
  <c r="F697" i="1"/>
  <c r="G697" i="1" s="1" a="1"/>
  <c r="G697" i="1" s="1"/>
  <c r="F698" i="1" a="1"/>
  <c r="F698" i="1" s="1"/>
  <c r="G698" i="1" s="1" a="1"/>
  <c r="G698" i="1" s="1"/>
  <c r="F699" i="1" a="1"/>
  <c r="F699" i="1" s="1"/>
  <c r="G699" i="1" s="1" a="1"/>
  <c r="G699" i="1" s="1"/>
  <c r="F700" i="1" a="1"/>
  <c r="F700" i="1" s="1"/>
  <c r="G700" i="1" s="1" a="1"/>
  <c r="G700" i="1" s="1"/>
  <c r="F701" i="1" a="1"/>
  <c r="F701" i="1" s="1"/>
  <c r="G701" i="1" s="1" a="1"/>
  <c r="G701" i="1" s="1"/>
  <c r="F702" i="1" a="1"/>
  <c r="F702" i="1" s="1"/>
  <c r="G702" i="1" s="1" a="1"/>
  <c r="G702" i="1" s="1"/>
  <c r="F703" i="1" a="1"/>
  <c r="F703" i="1" s="1"/>
  <c r="G703" i="1" s="1" a="1"/>
  <c r="G703" i="1" s="1"/>
  <c r="F704" i="1" a="1"/>
  <c r="F704" i="1" s="1"/>
  <c r="G704" i="1" s="1" a="1"/>
  <c r="G704" i="1" s="1"/>
  <c r="F705" i="1" a="1"/>
  <c r="F705" i="1"/>
  <c r="G705" i="1" s="1" a="1"/>
  <c r="G705" i="1" s="1"/>
  <c r="F706" i="1" a="1"/>
  <c r="F706" i="1" s="1"/>
  <c r="G706" i="1" s="1" a="1"/>
  <c r="G706" i="1" s="1"/>
  <c r="F707" i="1" a="1"/>
  <c r="F707" i="1" s="1"/>
  <c r="G707" i="1" s="1" a="1"/>
  <c r="G707" i="1" s="1"/>
  <c r="F708" i="1" a="1"/>
  <c r="F708" i="1" s="1"/>
  <c r="G708" i="1" s="1" a="1"/>
  <c r="G708" i="1" s="1"/>
  <c r="F709" i="1" a="1"/>
  <c r="F709" i="1" s="1"/>
  <c r="G709" i="1" s="1" a="1"/>
  <c r="G709" i="1" s="1"/>
  <c r="F710" i="1" a="1"/>
  <c r="F710" i="1" s="1"/>
  <c r="G710" i="1" s="1" a="1"/>
  <c r="G710" i="1" s="1"/>
  <c r="F711" i="1" a="1"/>
  <c r="F711" i="1" s="1"/>
  <c r="G711" i="1" s="1" a="1"/>
  <c r="G711" i="1" s="1"/>
  <c r="F712" i="1" a="1"/>
  <c r="F712" i="1" s="1"/>
  <c r="G712" i="1" s="1" a="1"/>
  <c r="G712" i="1" s="1"/>
  <c r="F713" i="1" a="1"/>
  <c r="F713" i="1" s="1"/>
  <c r="G713" i="1" s="1" a="1"/>
  <c r="G713" i="1" s="1"/>
  <c r="F714" i="1" a="1"/>
  <c r="F714" i="1" s="1"/>
  <c r="G714" i="1" s="1" a="1"/>
  <c r="G714" i="1" s="1"/>
  <c r="F715" i="1" a="1"/>
  <c r="F715" i="1" s="1"/>
  <c r="G715" i="1" s="1" a="1"/>
  <c r="G715" i="1" s="1"/>
  <c r="F716" i="1" a="1"/>
  <c r="F716" i="1" s="1"/>
  <c r="G716" i="1" s="1" a="1"/>
  <c r="G716" i="1" s="1"/>
  <c r="F717" i="1" a="1"/>
  <c r="F717" i="1" s="1"/>
  <c r="G717" i="1" s="1" a="1"/>
  <c r="G717" i="1" s="1"/>
  <c r="F718" i="1" a="1"/>
  <c r="F718" i="1" s="1"/>
  <c r="G718" i="1" s="1" a="1"/>
  <c r="G718" i="1" s="1"/>
  <c r="F719" i="1" a="1"/>
  <c r="F719" i="1" s="1"/>
  <c r="G719" i="1" s="1" a="1"/>
  <c r="G719" i="1" s="1"/>
  <c r="F720" i="1" a="1"/>
  <c r="F720" i="1" s="1"/>
  <c r="G720" i="1" s="1" a="1"/>
  <c r="G720" i="1" s="1"/>
  <c r="F721" i="1" a="1"/>
  <c r="F721" i="1" s="1"/>
  <c r="G721" i="1" s="1" a="1"/>
  <c r="G721" i="1" s="1"/>
  <c r="F722" i="1" a="1"/>
  <c r="F722" i="1" s="1"/>
  <c r="G722" i="1" s="1" a="1"/>
  <c r="G722" i="1" s="1"/>
  <c r="F723" i="1" a="1"/>
  <c r="F723" i="1" s="1"/>
  <c r="G723" i="1" s="1" a="1"/>
  <c r="G723" i="1" s="1"/>
  <c r="F724" i="1" a="1"/>
  <c r="F724" i="1" s="1"/>
  <c r="G724" i="1" s="1" a="1"/>
  <c r="G724" i="1" s="1"/>
  <c r="F725" i="1" a="1"/>
  <c r="F725" i="1" s="1"/>
  <c r="G725" i="1" s="1" a="1"/>
  <c r="G725" i="1" s="1"/>
  <c r="F726" i="1" a="1"/>
  <c r="F726" i="1" s="1"/>
  <c r="G726" i="1" s="1" a="1"/>
  <c r="G726" i="1" s="1"/>
  <c r="F727" i="1" a="1"/>
  <c r="F727" i="1"/>
  <c r="G727" i="1" s="1" a="1"/>
  <c r="G727" i="1" s="1"/>
  <c r="F728" i="1" a="1"/>
  <c r="F728" i="1" s="1"/>
  <c r="G728" i="1" s="1" a="1"/>
  <c r="G728" i="1" s="1"/>
  <c r="F729" i="1" a="1"/>
  <c r="F729" i="1" s="1"/>
  <c r="G729" i="1" s="1" a="1"/>
  <c r="G729" i="1" s="1"/>
  <c r="F730" i="1" a="1"/>
  <c r="F730" i="1" s="1"/>
  <c r="G730" i="1" s="1" a="1"/>
  <c r="G730" i="1" s="1"/>
  <c r="F731" i="1" a="1"/>
  <c r="F731" i="1" s="1"/>
  <c r="G731" i="1" s="1" a="1"/>
  <c r="G731" i="1" s="1"/>
  <c r="F732" i="1" a="1"/>
  <c r="F732" i="1" s="1"/>
  <c r="G732" i="1" s="1" a="1"/>
  <c r="G732" i="1" s="1"/>
  <c r="F733" i="1" a="1"/>
  <c r="F733" i="1" s="1"/>
  <c r="G733" i="1" s="1" a="1"/>
  <c r="G733" i="1" s="1"/>
  <c r="F734" i="1" a="1"/>
  <c r="F734" i="1" s="1"/>
  <c r="G734" i="1" s="1" a="1"/>
  <c r="G734" i="1" s="1"/>
  <c r="F735" i="1" a="1"/>
  <c r="F735" i="1" s="1"/>
  <c r="G735" i="1" s="1" a="1"/>
  <c r="G735" i="1" s="1"/>
  <c r="F736" i="1" a="1"/>
  <c r="F736" i="1" s="1"/>
  <c r="G736" i="1" s="1" a="1"/>
  <c r="G736" i="1" s="1"/>
  <c r="F737" i="1" a="1"/>
  <c r="F737" i="1" s="1"/>
  <c r="G737" i="1" s="1" a="1"/>
  <c r="G737" i="1" s="1"/>
  <c r="F738" i="1" a="1"/>
  <c r="F738" i="1" s="1"/>
  <c r="G738" i="1" s="1" a="1"/>
  <c r="G738" i="1" s="1"/>
  <c r="F739" i="1" a="1"/>
  <c r="F739" i="1" s="1"/>
  <c r="G739" i="1" s="1" a="1"/>
  <c r="G739" i="1" s="1"/>
  <c r="F740" i="1" a="1"/>
  <c r="F740" i="1"/>
  <c r="G740" i="1" s="1" a="1"/>
  <c r="G740" i="1" s="1"/>
  <c r="F741" i="1" a="1"/>
  <c r="F741" i="1" s="1"/>
  <c r="G741" i="1" s="1" a="1"/>
  <c r="G741" i="1" s="1"/>
  <c r="F742" i="1" a="1"/>
  <c r="F742" i="1" s="1"/>
  <c r="G742" i="1" s="1" a="1"/>
  <c r="G742" i="1" s="1"/>
  <c r="F743" i="1" a="1"/>
  <c r="F743" i="1" s="1"/>
  <c r="G743" i="1" s="1" a="1"/>
  <c r="G743" i="1" s="1"/>
  <c r="F744" i="1" a="1"/>
  <c r="F744" i="1" s="1"/>
  <c r="G744" i="1" s="1" a="1"/>
  <c r="G744" i="1" s="1"/>
  <c r="F745" i="1" a="1"/>
  <c r="F745" i="1" s="1"/>
  <c r="G745" i="1" s="1" a="1"/>
  <c r="G745" i="1" s="1"/>
  <c r="F746" i="1" a="1"/>
  <c r="F746" i="1" s="1"/>
  <c r="G746" i="1" s="1" a="1"/>
  <c r="G746" i="1" s="1"/>
  <c r="F747" i="1" a="1"/>
  <c r="F747" i="1" s="1"/>
  <c r="G747" i="1" s="1" a="1"/>
  <c r="G747" i="1" s="1"/>
  <c r="F748" i="1" a="1"/>
  <c r="F748" i="1" s="1"/>
  <c r="G748" i="1" s="1" a="1"/>
  <c r="G748" i="1" s="1"/>
  <c r="F749" i="1" a="1"/>
  <c r="F749" i="1" s="1"/>
  <c r="G749" i="1" s="1" a="1"/>
  <c r="G749" i="1" s="1"/>
  <c r="F750" i="1" a="1"/>
  <c r="F750" i="1" s="1"/>
  <c r="G750" i="1" s="1" a="1"/>
  <c r="G750" i="1" s="1"/>
  <c r="F751" i="1" a="1"/>
  <c r="F751" i="1" s="1"/>
  <c r="G751" i="1" s="1" a="1"/>
  <c r="G751" i="1" s="1"/>
  <c r="F752" i="1" a="1"/>
  <c r="F752" i="1" s="1"/>
  <c r="G752" i="1" s="1" a="1"/>
  <c r="G752" i="1" s="1"/>
  <c r="F753" i="1" a="1"/>
  <c r="F753" i="1" s="1"/>
  <c r="G753" i="1" s="1" a="1"/>
  <c r="G753" i="1" s="1"/>
  <c r="F754" i="1" a="1"/>
  <c r="F754" i="1" s="1"/>
  <c r="G754" i="1" s="1" a="1"/>
  <c r="G754" i="1" s="1"/>
  <c r="F755" i="1" a="1"/>
  <c r="F755" i="1" s="1"/>
  <c r="G755" i="1" s="1" a="1"/>
  <c r="G755" i="1" s="1"/>
  <c r="F756" i="1" a="1"/>
  <c r="F756" i="1" s="1"/>
  <c r="G756" i="1" s="1" a="1"/>
  <c r="G756" i="1" s="1"/>
  <c r="F757" i="1" a="1"/>
  <c r="F757" i="1" s="1"/>
  <c r="G757" i="1" s="1" a="1"/>
  <c r="G757" i="1" s="1"/>
  <c r="F758" i="1" a="1"/>
  <c r="F758" i="1" s="1"/>
  <c r="G758" i="1" s="1" a="1"/>
  <c r="G758" i="1" s="1"/>
  <c r="F759" i="1" a="1"/>
  <c r="F759" i="1" s="1"/>
  <c r="G759" i="1" s="1" a="1"/>
  <c r="G759" i="1" s="1"/>
  <c r="F760" i="1" a="1"/>
  <c r="F760" i="1" s="1"/>
  <c r="G760" i="1" s="1" a="1"/>
  <c r="G760" i="1" s="1"/>
  <c r="F761" i="1" a="1"/>
  <c r="F761" i="1" s="1"/>
  <c r="G761" i="1" s="1" a="1"/>
  <c r="G761" i="1" s="1"/>
  <c r="F762" i="1" a="1"/>
  <c r="F762" i="1" s="1"/>
  <c r="G762" i="1" s="1" a="1"/>
  <c r="G762" i="1" s="1"/>
  <c r="F763" i="1" a="1"/>
  <c r="F763" i="1" s="1"/>
  <c r="G763" i="1" s="1" a="1"/>
  <c r="G763" i="1" s="1"/>
  <c r="F764" i="1" a="1"/>
  <c r="F764" i="1" s="1"/>
  <c r="G764" i="1" s="1" a="1"/>
  <c r="G764" i="1" s="1"/>
  <c r="F765" i="1" a="1"/>
  <c r="F765" i="1" s="1"/>
  <c r="G765" i="1" s="1" a="1"/>
  <c r="G765" i="1" s="1"/>
  <c r="F766" i="1" a="1"/>
  <c r="F766" i="1" s="1"/>
  <c r="G766" i="1" s="1" a="1"/>
  <c r="G766" i="1" s="1"/>
  <c r="F767" i="1" a="1"/>
  <c r="F767" i="1" s="1"/>
  <c r="G767" i="1" s="1" a="1"/>
  <c r="G767" i="1" s="1"/>
  <c r="F768" i="1" a="1"/>
  <c r="F768" i="1" s="1"/>
  <c r="G768" i="1" s="1" a="1"/>
  <c r="G768" i="1" s="1"/>
  <c r="F769" i="1" a="1"/>
  <c r="F769" i="1" s="1"/>
  <c r="G769" i="1" s="1" a="1"/>
  <c r="G769" i="1" s="1"/>
  <c r="F770" i="1" a="1"/>
  <c r="F770" i="1" s="1"/>
  <c r="G770" i="1" s="1" a="1"/>
  <c r="G770" i="1" s="1"/>
  <c r="F771" i="1" a="1"/>
  <c r="F771" i="1"/>
  <c r="G771" i="1" s="1" a="1"/>
  <c r="G771" i="1" s="1"/>
  <c r="F772" i="1" a="1"/>
  <c r="F772" i="1" s="1"/>
  <c r="G772" i="1" s="1" a="1"/>
  <c r="G772" i="1" s="1"/>
  <c r="F773" i="1" a="1"/>
  <c r="F773" i="1" s="1"/>
  <c r="G773" i="1" s="1" a="1"/>
  <c r="G773" i="1" s="1"/>
  <c r="F774" i="1" a="1"/>
  <c r="F774" i="1" s="1"/>
  <c r="G774" i="1" s="1" a="1"/>
  <c r="G774" i="1" s="1"/>
  <c r="F775" i="1" a="1"/>
  <c r="F775" i="1" s="1"/>
  <c r="G775" i="1" s="1" a="1"/>
  <c r="G775" i="1" s="1"/>
  <c r="F776" i="1" a="1"/>
  <c r="F776" i="1" s="1"/>
  <c r="G776" i="1" s="1" a="1"/>
  <c r="G776" i="1" s="1"/>
  <c r="F777" i="1" a="1"/>
  <c r="F777" i="1"/>
  <c r="G777" i="1" s="1" a="1"/>
  <c r="G777" i="1" s="1"/>
  <c r="F778" i="1" a="1"/>
  <c r="F778" i="1" s="1"/>
  <c r="G778" i="1" s="1" a="1"/>
  <c r="G778" i="1" s="1"/>
  <c r="F779" i="1" a="1"/>
  <c r="F779" i="1" s="1"/>
  <c r="G779" i="1" s="1" a="1"/>
  <c r="G779" i="1" s="1"/>
  <c r="F780" i="1" a="1"/>
  <c r="F780" i="1" s="1"/>
  <c r="G780" i="1" s="1" a="1"/>
  <c r="G780" i="1" s="1"/>
  <c r="F781" i="1" a="1"/>
  <c r="F781" i="1" s="1"/>
  <c r="G781" i="1" s="1" a="1"/>
  <c r="G781" i="1" s="1"/>
  <c r="F782" i="1" a="1"/>
  <c r="F782" i="1" s="1"/>
  <c r="G782" i="1" s="1" a="1"/>
  <c r="G782" i="1" s="1"/>
  <c r="F783" i="1" a="1"/>
  <c r="F783" i="1" s="1"/>
  <c r="G783" i="1" s="1" a="1"/>
  <c r="G783" i="1" s="1"/>
  <c r="F784" i="1" a="1"/>
  <c r="F784" i="1" s="1"/>
  <c r="G784" i="1" s="1" a="1"/>
  <c r="G784" i="1" s="1"/>
  <c r="F785" i="1" a="1"/>
  <c r="F785" i="1" s="1"/>
  <c r="G785" i="1" s="1" a="1"/>
  <c r="G785" i="1" s="1"/>
  <c r="F786" i="1" a="1"/>
  <c r="F786" i="1" s="1"/>
  <c r="G786" i="1" s="1" a="1"/>
  <c r="G786" i="1" s="1"/>
  <c r="F787" i="1" a="1"/>
  <c r="F787" i="1" s="1"/>
  <c r="G787" i="1" s="1" a="1"/>
  <c r="G787" i="1" s="1"/>
  <c r="F788" i="1" a="1"/>
  <c r="F788" i="1" s="1"/>
  <c r="G788" i="1" s="1" a="1"/>
  <c r="G788" i="1" s="1"/>
  <c r="F789" i="1" a="1"/>
  <c r="F789" i="1" s="1"/>
  <c r="G789" i="1" s="1" a="1"/>
  <c r="G789" i="1" s="1"/>
  <c r="F790" i="1" a="1"/>
  <c r="F790" i="1" s="1"/>
  <c r="G790" i="1" s="1" a="1"/>
  <c r="G790" i="1" s="1"/>
  <c r="F791" i="1" a="1"/>
  <c r="F791" i="1" s="1"/>
  <c r="G791" i="1" s="1" a="1"/>
  <c r="G791" i="1" s="1"/>
  <c r="F792" i="1" a="1"/>
  <c r="F792" i="1" s="1"/>
  <c r="G792" i="1" s="1" a="1"/>
  <c r="G792" i="1" s="1"/>
  <c r="F793" i="1" a="1"/>
  <c r="F793" i="1" s="1"/>
  <c r="G793" i="1" s="1" a="1"/>
  <c r="G793" i="1" s="1"/>
  <c r="F794" i="1" a="1"/>
  <c r="F794" i="1" s="1"/>
  <c r="G794" i="1" s="1" a="1"/>
  <c r="G794" i="1" s="1"/>
  <c r="F795" i="1" a="1"/>
  <c r="F795" i="1" s="1"/>
  <c r="G795" i="1" s="1" a="1"/>
  <c r="G795" i="1" s="1"/>
  <c r="F796" i="1" a="1"/>
  <c r="F796" i="1" s="1"/>
  <c r="G796" i="1" s="1" a="1"/>
  <c r="G796" i="1" s="1"/>
  <c r="F797" i="1" a="1"/>
  <c r="F797" i="1" s="1"/>
  <c r="G797" i="1" s="1" a="1"/>
  <c r="G797" i="1" s="1"/>
  <c r="F798" i="1" a="1"/>
  <c r="F798" i="1" s="1"/>
  <c r="G798" i="1" s="1" a="1"/>
  <c r="G798" i="1" s="1"/>
  <c r="F799" i="1" a="1"/>
  <c r="F799" i="1" s="1"/>
  <c r="G799" i="1" s="1" a="1"/>
  <c r="G799" i="1" s="1"/>
  <c r="F800" i="1" a="1"/>
  <c r="F800" i="1" s="1"/>
  <c r="G800" i="1" s="1" a="1"/>
  <c r="G800" i="1" s="1"/>
  <c r="F801" i="1" a="1"/>
  <c r="F801" i="1" s="1"/>
  <c r="G801" i="1" s="1" a="1"/>
  <c r="G801" i="1" s="1"/>
  <c r="F802" i="1" a="1"/>
  <c r="F802" i="1" s="1"/>
  <c r="G802" i="1" s="1" a="1"/>
  <c r="G802" i="1" s="1"/>
  <c r="F803" i="1" a="1"/>
  <c r="F803" i="1" s="1"/>
  <c r="G803" i="1" s="1" a="1"/>
  <c r="G803" i="1" s="1"/>
  <c r="F804" i="1" a="1"/>
  <c r="F804" i="1" s="1"/>
  <c r="G804" i="1" s="1" a="1"/>
  <c r="G804" i="1" s="1"/>
  <c r="F805" i="1" a="1"/>
  <c r="F805" i="1" s="1"/>
  <c r="G805" i="1" s="1" a="1"/>
  <c r="G805" i="1" s="1"/>
  <c r="F806" i="1" a="1"/>
  <c r="F806" i="1" s="1"/>
  <c r="G806" i="1" s="1" a="1"/>
  <c r="G806" i="1" s="1"/>
  <c r="F807" i="1" a="1"/>
  <c r="F807" i="1" s="1"/>
  <c r="G807" i="1" s="1" a="1"/>
  <c r="G807" i="1" s="1"/>
  <c r="F808" i="1" a="1"/>
  <c r="F808" i="1" s="1"/>
  <c r="G808" i="1" s="1" a="1"/>
  <c r="G808" i="1" s="1"/>
  <c r="F809" i="1" a="1"/>
  <c r="F809" i="1" s="1"/>
  <c r="G809" i="1" s="1" a="1"/>
  <c r="G809" i="1" s="1"/>
  <c r="F810" i="1" a="1"/>
  <c r="F810" i="1" s="1"/>
  <c r="G810" i="1" s="1" a="1"/>
  <c r="G810" i="1" s="1"/>
  <c r="F811" i="1" a="1"/>
  <c r="F811" i="1"/>
  <c r="G811" i="1" s="1" a="1"/>
  <c r="G811" i="1" s="1"/>
  <c r="F812" i="1" a="1"/>
  <c r="F812" i="1" s="1"/>
  <c r="G812" i="1" s="1" a="1"/>
  <c r="G812" i="1" s="1"/>
  <c r="F813" i="1" a="1"/>
  <c r="F813" i="1" s="1"/>
  <c r="G813" i="1" s="1" a="1"/>
  <c r="G813" i="1" s="1"/>
  <c r="F814" i="1" a="1"/>
  <c r="F814" i="1" s="1"/>
  <c r="G814" i="1" s="1" a="1"/>
  <c r="G814" i="1" s="1"/>
  <c r="F815" i="1" a="1"/>
  <c r="F815" i="1" s="1"/>
  <c r="G815" i="1" s="1" a="1"/>
  <c r="G815" i="1" s="1"/>
  <c r="F816" i="1" a="1"/>
  <c r="F816" i="1" s="1"/>
  <c r="G816" i="1" s="1" a="1"/>
  <c r="G816" i="1" s="1"/>
  <c r="F817" i="1" a="1"/>
  <c r="F817" i="1"/>
  <c r="G817" i="1" s="1" a="1"/>
  <c r="G817" i="1" s="1"/>
  <c r="F818" i="1" a="1"/>
  <c r="F818" i="1" s="1"/>
  <c r="G818" i="1" s="1" a="1"/>
  <c r="G818" i="1" s="1"/>
  <c r="F819" i="1" a="1"/>
  <c r="F819" i="1" s="1"/>
  <c r="G819" i="1" s="1" a="1"/>
  <c r="G819" i="1" s="1"/>
  <c r="F820" i="1" a="1"/>
  <c r="F820" i="1" s="1"/>
  <c r="G820" i="1" s="1" a="1"/>
  <c r="G820" i="1" s="1"/>
  <c r="F821" i="1" a="1"/>
  <c r="F821" i="1" s="1"/>
  <c r="G821" i="1" s="1" a="1"/>
  <c r="G821" i="1" s="1"/>
  <c r="F822" i="1" a="1"/>
  <c r="F822" i="1" s="1"/>
  <c r="G822" i="1" s="1" a="1"/>
  <c r="G822" i="1" s="1"/>
  <c r="F823" i="1" a="1"/>
  <c r="F823" i="1" s="1"/>
  <c r="G823" i="1" s="1" a="1"/>
  <c r="G823" i="1" s="1"/>
  <c r="F824" i="1" a="1"/>
  <c r="F824" i="1" s="1"/>
  <c r="G824" i="1" s="1" a="1"/>
  <c r="G824" i="1" s="1"/>
  <c r="F825" i="1" a="1"/>
  <c r="F825" i="1" s="1"/>
  <c r="G825" i="1" s="1" a="1"/>
  <c r="G825" i="1" s="1"/>
  <c r="F826" i="1" a="1"/>
  <c r="F826" i="1" s="1"/>
  <c r="G826" i="1" s="1" a="1"/>
  <c r="G826" i="1" s="1"/>
  <c r="F827" i="1" a="1"/>
  <c r="F827" i="1" s="1"/>
  <c r="G827" i="1" s="1" a="1"/>
  <c r="G827" i="1" s="1"/>
  <c r="F828" i="1" a="1"/>
  <c r="F828" i="1" s="1"/>
  <c r="G828" i="1" s="1" a="1"/>
  <c r="G828" i="1" s="1"/>
  <c r="F829" i="1" a="1"/>
  <c r="F829" i="1" s="1"/>
  <c r="G829" i="1" s="1" a="1"/>
  <c r="G829" i="1" s="1"/>
  <c r="F830" i="1" a="1"/>
  <c r="F830" i="1" s="1"/>
  <c r="G830" i="1" s="1" a="1"/>
  <c r="G830" i="1" s="1"/>
  <c r="F831" i="1" a="1"/>
  <c r="F831" i="1" s="1"/>
  <c r="G831" i="1" s="1" a="1"/>
  <c r="G831" i="1" s="1"/>
  <c r="F832" i="1" a="1"/>
  <c r="F832" i="1" s="1"/>
  <c r="G832" i="1" s="1" a="1"/>
  <c r="G832" i="1" s="1"/>
  <c r="F833" i="1" a="1"/>
  <c r="F833" i="1" s="1"/>
  <c r="G833" i="1" s="1" a="1"/>
  <c r="G833" i="1" s="1"/>
  <c r="F834" i="1" a="1"/>
  <c r="F834" i="1" s="1"/>
  <c r="G834" i="1" s="1" a="1"/>
  <c r="G834" i="1" s="1"/>
  <c r="F835" i="1" a="1"/>
  <c r="F835" i="1" s="1"/>
  <c r="G835" i="1" s="1" a="1"/>
  <c r="G835" i="1" s="1"/>
  <c r="F836" i="1" a="1"/>
  <c r="F836" i="1" s="1"/>
  <c r="G836" i="1" s="1" a="1"/>
  <c r="G836" i="1" s="1"/>
  <c r="F837" i="1" a="1"/>
  <c r="F837" i="1" s="1"/>
  <c r="G837" i="1" s="1" a="1"/>
  <c r="G837" i="1" s="1"/>
  <c r="F838" i="1" a="1"/>
  <c r="F838" i="1" s="1"/>
  <c r="G838" i="1" s="1" a="1"/>
  <c r="G838" i="1" s="1"/>
  <c r="F839" i="1" a="1"/>
  <c r="F839" i="1" s="1"/>
  <c r="G839" i="1" s="1" a="1"/>
  <c r="G839" i="1" s="1"/>
  <c r="F840" i="1" a="1"/>
  <c r="F840" i="1" s="1"/>
  <c r="G840" i="1" s="1" a="1"/>
  <c r="G840" i="1" s="1"/>
  <c r="F841" i="1" a="1"/>
  <c r="F841" i="1" s="1"/>
  <c r="G841" i="1" s="1" a="1"/>
  <c r="G841" i="1" s="1"/>
  <c r="F842" i="1" a="1"/>
  <c r="F842" i="1" s="1"/>
  <c r="G842" i="1" s="1" a="1"/>
  <c r="G842" i="1" s="1"/>
  <c r="F843" i="1" a="1"/>
  <c r="F843" i="1"/>
  <c r="G843" i="1" s="1" a="1"/>
  <c r="G843" i="1" s="1"/>
  <c r="F844" i="1" a="1"/>
  <c r="F844" i="1" s="1"/>
  <c r="G844" i="1" s="1" a="1"/>
  <c r="G844" i="1" s="1"/>
  <c r="F845" i="1" a="1"/>
  <c r="F845" i="1" s="1"/>
  <c r="G845" i="1" s="1" a="1"/>
  <c r="G845" i="1" s="1"/>
  <c r="F846" i="1" a="1"/>
  <c r="F846" i="1" s="1"/>
  <c r="G846" i="1" s="1" a="1"/>
  <c r="G846" i="1" s="1"/>
  <c r="F847" i="1" a="1"/>
  <c r="F847" i="1" s="1"/>
  <c r="G847" i="1" s="1" a="1"/>
  <c r="G847" i="1" s="1"/>
  <c r="F848" i="1" a="1"/>
  <c r="F848" i="1" s="1"/>
  <c r="G848" i="1" s="1" a="1"/>
  <c r="G848" i="1" s="1"/>
  <c r="F849" i="1" a="1"/>
  <c r="F849" i="1" s="1"/>
  <c r="G849" i="1" s="1" a="1"/>
  <c r="G849" i="1" s="1"/>
  <c r="F850" i="1" a="1"/>
  <c r="F850" i="1" s="1"/>
  <c r="G850" i="1" s="1" a="1"/>
  <c r="G850" i="1" s="1"/>
  <c r="F851" i="1" a="1"/>
  <c r="F851" i="1" s="1"/>
  <c r="G851" i="1" s="1" a="1"/>
  <c r="G851" i="1" s="1"/>
  <c r="F852" i="1" a="1"/>
  <c r="F852" i="1" s="1"/>
  <c r="G852" i="1" s="1" a="1"/>
  <c r="G852" i="1" s="1"/>
  <c r="F853" i="1" a="1"/>
  <c r="F853" i="1" s="1"/>
  <c r="G853" i="1" s="1" a="1"/>
  <c r="G853" i="1" s="1"/>
  <c r="F854" i="1" a="1"/>
  <c r="F854" i="1" s="1"/>
  <c r="G854" i="1" s="1" a="1"/>
  <c r="G854" i="1" s="1"/>
  <c r="F855" i="1" a="1"/>
  <c r="F855" i="1" s="1"/>
  <c r="G855" i="1" s="1" a="1"/>
  <c r="G855" i="1" s="1"/>
  <c r="F856" i="1" a="1"/>
  <c r="F856" i="1"/>
  <c r="G856" i="1" s="1" a="1"/>
  <c r="G856" i="1" s="1"/>
  <c r="F857" i="1" a="1"/>
  <c r="F857" i="1" s="1"/>
  <c r="G857" i="1" s="1" a="1"/>
  <c r="G857" i="1" s="1"/>
  <c r="F858" i="1" a="1"/>
  <c r="F858" i="1" s="1"/>
  <c r="G858" i="1" s="1" a="1"/>
  <c r="G858" i="1" s="1"/>
  <c r="F859" i="1" a="1"/>
  <c r="F859" i="1" s="1"/>
  <c r="G859" i="1" s="1" a="1"/>
  <c r="G859" i="1" s="1"/>
  <c r="F860" i="1" a="1"/>
  <c r="F860" i="1" s="1"/>
  <c r="G860" i="1" s="1" a="1"/>
  <c r="G860" i="1" s="1"/>
  <c r="F861" i="1" a="1"/>
  <c r="F861" i="1" s="1"/>
  <c r="G861" i="1" s="1" a="1"/>
  <c r="G861" i="1" s="1"/>
  <c r="F862" i="1" a="1"/>
  <c r="F862" i="1"/>
  <c r="G862" i="1" s="1" a="1"/>
  <c r="G862" i="1" s="1"/>
  <c r="F863" i="1" a="1"/>
  <c r="F863" i="1" s="1"/>
  <c r="G863" i="1" s="1" a="1"/>
  <c r="G863" i="1" s="1"/>
  <c r="F864" i="1" a="1"/>
  <c r="F864" i="1" s="1"/>
  <c r="G864" i="1" s="1" a="1"/>
  <c r="G864" i="1" s="1"/>
  <c r="F865" i="1" a="1"/>
  <c r="F865" i="1" s="1"/>
  <c r="G865" i="1" s="1" a="1"/>
  <c r="G865" i="1" s="1"/>
  <c r="F866" i="1" a="1"/>
  <c r="F866" i="1" s="1"/>
  <c r="G866" i="1" s="1" a="1"/>
  <c r="G866" i="1" s="1"/>
  <c r="F867" i="1" a="1"/>
  <c r="F867" i="1" s="1"/>
  <c r="G867" i="1" s="1" a="1"/>
  <c r="G867" i="1" s="1"/>
  <c r="F868" i="1" a="1"/>
  <c r="F868" i="1"/>
  <c r="G868" i="1" s="1" a="1"/>
  <c r="G868" i="1" s="1"/>
  <c r="F869" i="1" a="1"/>
  <c r="F869" i="1" s="1"/>
  <c r="G869" i="1" s="1" a="1"/>
  <c r="G869" i="1" s="1"/>
  <c r="F870" i="1" a="1"/>
  <c r="F870" i="1" s="1"/>
  <c r="G870" i="1" s="1" a="1"/>
  <c r="G870" i="1" s="1"/>
  <c r="F871" i="1" a="1"/>
  <c r="F871" i="1" s="1"/>
  <c r="G871" i="1" s="1" a="1"/>
  <c r="G871" i="1" s="1"/>
  <c r="F872" i="1" a="1"/>
  <c r="F872" i="1" s="1"/>
  <c r="G872" i="1" s="1" a="1"/>
  <c r="G872" i="1" s="1"/>
  <c r="F873" i="1" a="1"/>
  <c r="F873" i="1" s="1"/>
  <c r="G873" i="1" s="1" a="1"/>
  <c r="G873" i="1" s="1"/>
  <c r="F874" i="1" a="1"/>
  <c r="F874" i="1" s="1"/>
  <c r="G874" i="1" s="1" a="1"/>
  <c r="G874" i="1" s="1"/>
  <c r="F875" i="1" a="1"/>
  <c r="F875" i="1" s="1"/>
  <c r="G875" i="1" s="1" a="1"/>
  <c r="G875" i="1" s="1"/>
  <c r="B33" i="9"/>
  <c r="B32" i="9"/>
  <c r="B31" i="9"/>
  <c r="B30" i="9"/>
  <c r="B29" i="9"/>
  <c r="B28" i="9"/>
  <c r="B27" i="9"/>
  <c r="B26" i="9"/>
  <c r="B25" i="9"/>
  <c r="B24" i="9"/>
  <c r="B23" i="9"/>
  <c r="D9" i="9"/>
  <c r="F9" i="9"/>
  <c r="G9" i="9"/>
  <c r="H9" i="9"/>
  <c r="J9" i="9"/>
  <c r="L9" i="9"/>
  <c r="M9" i="9"/>
  <c r="N9" i="9"/>
  <c r="P9" i="9"/>
  <c r="R9" i="9"/>
  <c r="T9" i="9"/>
  <c r="V9" i="9"/>
  <c r="AI9" i="9"/>
  <c r="AJ9" i="9"/>
  <c r="AK9" i="9"/>
  <c r="AL9" i="9"/>
  <c r="B9" i="9"/>
  <c r="B2" i="2"/>
  <c r="B10" i="2"/>
  <c r="B3" i="2"/>
  <c r="B4" i="2"/>
  <c r="B7" i="2"/>
  <c r="B8" i="2"/>
  <c r="B11" i="2"/>
  <c r="B5" i="2"/>
  <c r="B6" i="2"/>
  <c r="B9" i="2"/>
  <c r="B12" i="2"/>
  <c r="V18" i="9"/>
  <c r="T18" i="9"/>
  <c r="R18" i="9"/>
  <c r="P18" i="9"/>
  <c r="N18" i="9"/>
  <c r="L18" i="9"/>
  <c r="J18" i="9"/>
  <c r="H18" i="9"/>
  <c r="F18" i="9"/>
  <c r="D18" i="9"/>
  <c r="B18" i="9"/>
  <c r="V17" i="9"/>
  <c r="T17" i="9"/>
  <c r="R17" i="9"/>
  <c r="P17" i="9"/>
  <c r="N17" i="9"/>
  <c r="L17" i="9"/>
  <c r="J17" i="9"/>
  <c r="H17" i="9"/>
  <c r="F17" i="9"/>
  <c r="D17" i="9"/>
  <c r="B17" i="9"/>
  <c r="V16" i="9"/>
  <c r="V20" i="9" s="1"/>
  <c r="T16" i="9"/>
  <c r="R16" i="9"/>
  <c r="P16" i="9"/>
  <c r="P20" i="9" s="1"/>
  <c r="N16" i="9"/>
  <c r="N20" i="9" s="1"/>
  <c r="L16" i="9"/>
  <c r="J16" i="9"/>
  <c r="H16" i="9"/>
  <c r="F16" i="9"/>
  <c r="D16" i="9"/>
  <c r="B16" i="9"/>
  <c r="B20" i="9" s="1"/>
  <c r="B48" i="7"/>
  <c r="B49" i="7"/>
  <c r="B39" i="7"/>
  <c r="B42" i="7"/>
  <c r="B47" i="7"/>
  <c r="B45" i="7"/>
  <c r="B44" i="7"/>
  <c r="B43" i="7"/>
  <c r="B41" i="7"/>
  <c r="B46" i="7"/>
  <c r="B40" i="7"/>
  <c r="V34" i="7"/>
  <c r="D34" i="7"/>
  <c r="F34" i="7"/>
  <c r="H34" i="7"/>
  <c r="J34" i="7"/>
  <c r="L34" i="7"/>
  <c r="N34" i="7"/>
  <c r="P34" i="7"/>
  <c r="R34" i="7"/>
  <c r="T34" i="7"/>
  <c r="B34" i="7"/>
  <c r="V29" i="7"/>
  <c r="P29" i="7"/>
  <c r="N29" i="7"/>
  <c r="V27" i="7"/>
  <c r="V26" i="7"/>
  <c r="V25" i="7"/>
  <c r="T27" i="7"/>
  <c r="T26" i="7"/>
  <c r="T25" i="7"/>
  <c r="T29" i="7" s="1"/>
  <c r="R27" i="7"/>
  <c r="R26" i="7"/>
  <c r="R25" i="7"/>
  <c r="R29" i="7" s="1"/>
  <c r="P27" i="7"/>
  <c r="P26" i="7"/>
  <c r="P25" i="7"/>
  <c r="N27" i="7"/>
  <c r="N26" i="7"/>
  <c r="N25" i="7"/>
  <c r="L27" i="7"/>
  <c r="L26" i="7"/>
  <c r="L25" i="7"/>
  <c r="L29" i="7" s="1"/>
  <c r="J25" i="7"/>
  <c r="J29" i="7" s="1"/>
  <c r="J27" i="7"/>
  <c r="J26" i="7"/>
  <c r="H27" i="7"/>
  <c r="H26" i="7"/>
  <c r="H25" i="7"/>
  <c r="F27" i="7"/>
  <c r="F26" i="7"/>
  <c r="F25" i="7"/>
  <c r="D27" i="7"/>
  <c r="D26" i="7"/>
  <c r="D25" i="7"/>
  <c r="B26" i="7"/>
  <c r="B25" i="7"/>
  <c r="B27" i="7"/>
  <c r="J20" i="9" l="1"/>
  <c r="L20" i="9"/>
  <c r="R20" i="9"/>
  <c r="F20" i="9"/>
  <c r="H20" i="9"/>
  <c r="D20" i="9"/>
  <c r="T20" i="9"/>
  <c r="F29" i="7"/>
  <c r="H29" i="7"/>
  <c r="B29" i="7"/>
  <c r="D29"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Office-Benutzer</author>
  </authors>
  <commentList>
    <comment ref="D4" authorId="0" shapeId="0" xr:uid="{0E8CD609-8638-F24B-960E-BB3F2F531E19}">
      <text>
        <r>
          <rPr>
            <b/>
            <sz val="10"/>
            <color rgb="FF000000"/>
            <rFont val="Tahoma"/>
            <family val="2"/>
          </rPr>
          <t>Microsoft Office-Benutzer:</t>
        </r>
        <r>
          <rPr>
            <sz val="10"/>
            <color rgb="FF000000"/>
            <rFont val="Tahoma"/>
            <family val="2"/>
          </rPr>
          <t xml:space="preserve">
</t>
        </r>
        <r>
          <rPr>
            <sz val="10"/>
            <color rgb="FF000000"/>
            <rFont val="Tahoma"/>
            <family val="2"/>
          </rPr>
          <t>Blocking authority (14024), investment prohibition (14071), secondary sanctions on FFIs (14114)</t>
        </r>
      </text>
    </comment>
    <comment ref="F4" authorId="0" shapeId="0" xr:uid="{DAF57FE0-88F0-3343-94A6-C43CB2D24102}">
      <text>
        <r>
          <rPr>
            <b/>
            <sz val="10"/>
            <color rgb="FF000000"/>
            <rFont val="Tahoma"/>
            <family val="2"/>
          </rPr>
          <t>Microsoft Office-Benutzer:</t>
        </r>
        <r>
          <rPr>
            <sz val="10"/>
            <color rgb="FF000000"/>
            <rFont val="Tahoma"/>
            <family val="2"/>
          </rPr>
          <t xml:space="preserve">
</t>
        </r>
        <r>
          <rPr>
            <sz val="10"/>
            <color rgb="FF000000"/>
            <rFont val="Tahoma"/>
            <family val="2"/>
          </rPr>
          <t>Sectoral determinations for architecture, engineering, construction, manufacturing, transportation, aerospace, marine</t>
        </r>
      </text>
    </comment>
    <comment ref="F5" authorId="0" shapeId="0" xr:uid="{13CECF7F-5258-B24D-8E67-F94D62F9EB1E}">
      <text>
        <r>
          <rPr>
            <b/>
            <sz val="10"/>
            <color rgb="FF000000"/>
            <rFont val="Tahoma"/>
            <family val="2"/>
          </rPr>
          <t>Microsoft Office-Benutzer:</t>
        </r>
        <r>
          <rPr>
            <sz val="10"/>
            <color rgb="FF000000"/>
            <rFont val="Tahoma"/>
            <family val="2"/>
          </rPr>
          <t xml:space="preserve">
Architecture &amp; engineering services prohibitions, vessel ban, maritime transport restrictions</t>
        </r>
      </text>
    </comment>
    <comment ref="F6" authorId="0" shapeId="0" xr:uid="{8C7B6E82-A534-3645-B064-2CF0BDE12C4B}">
      <text>
        <r>
          <rPr>
            <b/>
            <sz val="10"/>
            <color rgb="FF000000"/>
            <rFont val="Tahoma"/>
            <family val="2"/>
          </rPr>
          <t>Microsoft Office-Benutzer:</t>
        </r>
        <r>
          <rPr>
            <sz val="10"/>
            <color rgb="FF000000"/>
            <rFont val="Tahoma"/>
            <family val="2"/>
          </rPr>
          <t xml:space="preserve">
Russia Rule on CCL items, 184 aircraft TDOs, expanded industrial items controls, priority items list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<sst xmlns="http://schemas.openxmlformats.org/spreadsheetml/2006/main" count="4879" uniqueCount="1991">
  <si>
    <t>Name CELI</t>
  </si>
  <si>
    <t>Company_Name_Orbis</t>
  </si>
  <si>
    <t>Aligned_CELI_Status</t>
  </si>
  <si>
    <t>GICS Industry</t>
  </si>
  <si>
    <t>3M</t>
  </si>
  <si>
    <t>3M COMPANY</t>
  </si>
  <si>
    <t>Suspension</t>
  </si>
  <si>
    <t>Industrials</t>
  </si>
  <si>
    <t>Abbott Laboratories</t>
  </si>
  <si>
    <t>ABBOTT LABORATORIES</t>
  </si>
  <si>
    <t>Buying Time</t>
  </si>
  <si>
    <t>Health Care</t>
  </si>
  <si>
    <t>Abbvie</t>
  </si>
  <si>
    <t>ABBVIE INC.</t>
  </si>
  <si>
    <t>Abrdn</t>
  </si>
  <si>
    <t>ABERDEEN GROUP PLC</t>
  </si>
  <si>
    <t>Financials</t>
  </si>
  <si>
    <t>Withdrawal</t>
  </si>
  <si>
    <t>Information Technology</t>
  </si>
  <si>
    <t>Activision Blizzard</t>
  </si>
  <si>
    <t>ACTIVISION BLIZZARD, INC.</t>
  </si>
  <si>
    <t>Communication Services</t>
  </si>
  <si>
    <t>Adidas</t>
  </si>
  <si>
    <t>ADIDAS AG</t>
  </si>
  <si>
    <t>Scaling Back</t>
  </si>
  <si>
    <t>Consumer Discretionary</t>
  </si>
  <si>
    <t>Adobe</t>
  </si>
  <si>
    <t>ADOBE INC.</t>
  </si>
  <si>
    <t>ADP</t>
  </si>
  <si>
    <t>AUTOMATIC DATA PROCESSING, INC.</t>
  </si>
  <si>
    <t>AECOM</t>
  </si>
  <si>
    <t>AG Barr</t>
  </si>
  <si>
    <t>BARR (A.G.) PLC</t>
  </si>
  <si>
    <t>Consumer Staples</t>
  </si>
  <si>
    <t>AGCO</t>
  </si>
  <si>
    <t>AGCO CORPORATION</t>
  </si>
  <si>
    <t>Agilent</t>
  </si>
  <si>
    <t>AGILENT TECHNOLOGIES, INC.</t>
  </si>
  <si>
    <t>Air Lease</t>
  </si>
  <si>
    <t>AIR LEASE CORPORATION</t>
  </si>
  <si>
    <t>Air Products</t>
  </si>
  <si>
    <t>AIR PRODUCTS AND CHEMICALS, INC.</t>
  </si>
  <si>
    <t>Materials</t>
  </si>
  <si>
    <t>Airbnb</t>
  </si>
  <si>
    <t>AIRBNB, INC.</t>
  </si>
  <si>
    <t>Akamai</t>
  </si>
  <si>
    <t>AKAMAI TECHNOLOGIES, INC.</t>
  </si>
  <si>
    <t>Alaska Airlines</t>
  </si>
  <si>
    <t>ALASKA AIR GROUP, INC.</t>
  </si>
  <si>
    <t>Alcoa</t>
  </si>
  <si>
    <t>ALCOA CORPORATION</t>
  </si>
  <si>
    <t>Align Technology</t>
  </si>
  <si>
    <t>ALIGN TECHNOLOGY INC</t>
  </si>
  <si>
    <t>Digging In</t>
  </si>
  <si>
    <t>Allianz</t>
  </si>
  <si>
    <t>ALLIANZ SE</t>
  </si>
  <si>
    <t>Alphabet</t>
  </si>
  <si>
    <t>ALPHABET INC.</t>
  </si>
  <si>
    <t>Amazon</t>
  </si>
  <si>
    <t>AMAZON.COM, INC.</t>
  </si>
  <si>
    <t>Ambarella</t>
  </si>
  <si>
    <t>AMD</t>
  </si>
  <si>
    <t>ADVANCED MICRO DEVICES, INC.</t>
  </si>
  <si>
    <t>Amdocs</t>
  </si>
  <si>
    <t>Amer Sports</t>
  </si>
  <si>
    <t>AMER SPORTS OY</t>
  </si>
  <si>
    <t>American Airlines</t>
  </si>
  <si>
    <t>AMERICAN AIRLINES GROUP INC.</t>
  </si>
  <si>
    <t>American Express</t>
  </si>
  <si>
    <t>AMERICAN EXPRESS COMPANY</t>
  </si>
  <si>
    <t>AmerisourceBergen</t>
  </si>
  <si>
    <t>CENCORA, INC.</t>
  </si>
  <si>
    <t>Ametek</t>
  </si>
  <si>
    <t>AMETEK, INC.</t>
  </si>
  <si>
    <t>Amgen</t>
  </si>
  <si>
    <t>AMGEN INC.</t>
  </si>
  <si>
    <t>Analog Devices</t>
  </si>
  <si>
    <t>ANALOG DEVICES INC</t>
  </si>
  <si>
    <t>Ansys</t>
  </si>
  <si>
    <t>ANSYS, INC.</t>
  </si>
  <si>
    <t>Aon PLC</t>
  </si>
  <si>
    <t>AON PUBLIC LIMITED COMPANY</t>
  </si>
  <si>
    <t>Apple</t>
  </si>
  <si>
    <t>APPLE INC.</t>
  </si>
  <si>
    <t>Archer Daniels Midland (ADM)</t>
  </si>
  <si>
    <t>ARCHER-DANIELS-MIDLAND COMPANY</t>
  </si>
  <si>
    <t>Arconic</t>
  </si>
  <si>
    <t>ARCONIC CORPORATION</t>
  </si>
  <si>
    <t>ARM</t>
  </si>
  <si>
    <t>ARM HOLDINGS PLC</t>
  </si>
  <si>
    <t>Asos</t>
  </si>
  <si>
    <t>ASOS PLC</t>
  </si>
  <si>
    <t>Aspo</t>
  </si>
  <si>
    <t>ASPO OYJ</t>
  </si>
  <si>
    <t>Aston Martin</t>
  </si>
  <si>
    <t>ASTON MARTIN LAGONDA GLOBAL HOLDINGS PLC</t>
  </si>
  <si>
    <t>AstraZeneca</t>
  </si>
  <si>
    <t>ASTRAZENECA PLC</t>
  </si>
  <si>
    <t>Atria</t>
  </si>
  <si>
    <t>ATRIA OYJ</t>
  </si>
  <si>
    <t>Audi</t>
  </si>
  <si>
    <t>AUDI AG</t>
  </si>
  <si>
    <t>Aurubis AG</t>
  </si>
  <si>
    <t>AURUBIS AG</t>
  </si>
  <si>
    <t>Autodesk</t>
  </si>
  <si>
    <t>AUTODESK, INC.</t>
  </si>
  <si>
    <t>Avantor</t>
  </si>
  <si>
    <t>AVANTOR, INC.</t>
  </si>
  <si>
    <t>Avaya</t>
  </si>
  <si>
    <t>AVAYA INC</t>
  </si>
  <si>
    <t>Avery Dennison</t>
  </si>
  <si>
    <t>AVERY DENNISON CORPORATION</t>
  </si>
  <si>
    <t>Avid</t>
  </si>
  <si>
    <t>AVID TECHNOLOGY INC</t>
  </si>
  <si>
    <t>Aviva</t>
  </si>
  <si>
    <t>AVIVA PLC</t>
  </si>
  <si>
    <t>Baker Hughes</t>
  </si>
  <si>
    <t>BAKER HUGHES COMPANY</t>
  </si>
  <si>
    <t>Energy</t>
  </si>
  <si>
    <t>Ball Corporation</t>
  </si>
  <si>
    <t>BALL CORPORATION</t>
  </si>
  <si>
    <t>BASF SE</t>
  </si>
  <si>
    <t>Bayer</t>
  </si>
  <si>
    <t>BAYER AG</t>
  </si>
  <si>
    <t>Beiersdorf</t>
  </si>
  <si>
    <t>BEIERSDORF AG</t>
  </si>
  <si>
    <t>Bentley Systems</t>
  </si>
  <si>
    <t>BENTLEY SYSTEMS, INCORPORATED</t>
  </si>
  <si>
    <t>BlackRock</t>
  </si>
  <si>
    <t>BLACKROCK, INC.</t>
  </si>
  <si>
    <t>BMC</t>
  </si>
  <si>
    <t>BMC SOFTWARE INC</t>
  </si>
  <si>
    <t>BMW</t>
  </si>
  <si>
    <t>BAYERISCHE MOTOREN WERKE AG</t>
  </si>
  <si>
    <t>BNY Mellon</t>
  </si>
  <si>
    <t>THE BANK OF NEW YORK MELLON CORPORATION</t>
  </si>
  <si>
    <t>Boeing</t>
  </si>
  <si>
    <t>THE BOEING COMPANY</t>
  </si>
  <si>
    <t>Boohoo Group</t>
  </si>
  <si>
    <t>BOOHOO GROUP PLC</t>
  </si>
  <si>
    <t>Booking</t>
  </si>
  <si>
    <t>BOOKING HOLDINGS INC.</t>
  </si>
  <si>
    <t>Boreo</t>
  </si>
  <si>
    <t>BOREO OYJ</t>
  </si>
  <si>
    <t>Boston Scientific</t>
  </si>
  <si>
    <t>BOSTON SCIENTIFIC CORPORATION</t>
  </si>
  <si>
    <t>Brenntag</t>
  </si>
  <si>
    <t>BRENNTAG SE</t>
  </si>
  <si>
    <t>Brinks</t>
  </si>
  <si>
    <t>THE BRINK'S COMPANY</t>
  </si>
  <si>
    <t>Bristol-Myers Squibb</t>
  </si>
  <si>
    <t>BRISTOL-MYERS SQUIBB COMPANY</t>
  </si>
  <si>
    <t>British Airways</t>
  </si>
  <si>
    <t>BRITISH AIRWAYS PLC</t>
  </si>
  <si>
    <t>British American Tobacco</t>
  </si>
  <si>
    <t>BRITISH AMERICAN TOBACCO PLC</t>
  </si>
  <si>
    <t>British Petroleum (BP)</t>
  </si>
  <si>
    <t>BP P.L.C.</t>
  </si>
  <si>
    <t>Broadridge Financial Solutions</t>
  </si>
  <si>
    <t>BROADRIDGE FINANCIAL SOLUTIONS, INC.</t>
  </si>
  <si>
    <t>Brown-Forman</t>
  </si>
  <si>
    <t>BROWN-FORMAN CORPORATION</t>
  </si>
  <si>
    <t>Bruker</t>
  </si>
  <si>
    <t>BRUKER CORPORATION</t>
  </si>
  <si>
    <t>Bumble</t>
  </si>
  <si>
    <t>BUMBLE INC.</t>
  </si>
  <si>
    <t>Bunge</t>
  </si>
  <si>
    <t>BUNGE LIMITED</t>
  </si>
  <si>
    <t>Burberry</t>
  </si>
  <si>
    <t>BURBERRY GROUP PLC</t>
  </si>
  <si>
    <t>Burger King (Restaurant Brands)</t>
  </si>
  <si>
    <t>BURGER KING WORLDWIDE, INC.</t>
  </si>
  <si>
    <t>Cadence</t>
  </si>
  <si>
    <t>CADENCE DESIGN SYSTEMS, INC.</t>
  </si>
  <si>
    <t>Callaway Golf</t>
  </si>
  <si>
    <t>CALLAWAY GOLF CO</t>
  </si>
  <si>
    <t>Cargotec</t>
  </si>
  <si>
    <t>HIAB OYJ</t>
  </si>
  <si>
    <t>Carrier</t>
  </si>
  <si>
    <t>CARRIER GLOBAL CORP</t>
  </si>
  <si>
    <t>Carter's | Oshkosh</t>
  </si>
  <si>
    <t>CARTER'S, INC.</t>
  </si>
  <si>
    <t>Caterpillar</t>
  </si>
  <si>
    <t>CATERPILLAR INC.</t>
  </si>
  <si>
    <t>Caverion</t>
  </si>
  <si>
    <t>CAVERION OYJ</t>
  </si>
  <si>
    <t>CBRE</t>
  </si>
  <si>
    <t>CBRE GROUP, INC.</t>
  </si>
  <si>
    <t>Real Estate</t>
  </si>
  <si>
    <t>Centrica</t>
  </si>
  <si>
    <t>CENTRICA PLC</t>
  </si>
  <si>
    <t>Utilities</t>
  </si>
  <si>
    <t>ChampionX</t>
  </si>
  <si>
    <t>CHAMPIONX CORPORATION</t>
  </si>
  <si>
    <t>Charles Schwab</t>
  </si>
  <si>
    <t>THE CHARLES SCHWAB CORPORATION</t>
  </si>
  <si>
    <t>Chemours</t>
  </si>
  <si>
    <t>THE CHEMOURS COMPANY</t>
  </si>
  <si>
    <t>Chevron</t>
  </si>
  <si>
    <t>CHEVRON CORPORATION</t>
  </si>
  <si>
    <t>Ciena</t>
  </si>
  <si>
    <t>CIENA CORPORATION</t>
  </si>
  <si>
    <t>Cisco</t>
  </si>
  <si>
    <t>CISCO SYSTEMS INC</t>
  </si>
  <si>
    <t>Citrix</t>
  </si>
  <si>
    <t>CITRIX SYSTEMS INC</t>
  </si>
  <si>
    <t>Clarivate</t>
  </si>
  <si>
    <t>CLARIVATE PLC</t>
  </si>
  <si>
    <t>Clorox</t>
  </si>
  <si>
    <t>THE CLOROX COMPANY</t>
  </si>
  <si>
    <t>Cloudflare</t>
  </si>
  <si>
    <t>CLOUDFLARE, INC.</t>
  </si>
  <si>
    <t>CME Group</t>
  </si>
  <si>
    <t>CME GROUP INC</t>
  </si>
  <si>
    <t>CNH Industrial</t>
  </si>
  <si>
    <t>CNH INDUSTRIAL N.V</t>
  </si>
  <si>
    <t>Coca-Cola</t>
  </si>
  <si>
    <t>THE COCA-COLA COMPANY</t>
  </si>
  <si>
    <t>Cogent Communications</t>
  </si>
  <si>
    <t>COGENT COMMUNICATIONS HOLDINGS, INC.</t>
  </si>
  <si>
    <t>Coinbase</t>
  </si>
  <si>
    <t>COINBASE GLOBAL, INC.</t>
  </si>
  <si>
    <t>Colgate-Palmolive</t>
  </si>
  <si>
    <t>COLGATE-PALMOLIVE COMPANY</t>
  </si>
  <si>
    <t>Columbia Sportswear</t>
  </si>
  <si>
    <t>COLUMBIA SPORTSWEAR COMPANY</t>
  </si>
  <si>
    <t>Commerzbank</t>
  </si>
  <si>
    <t>COMMERZBANK AG</t>
  </si>
  <si>
    <t>Commvault</t>
  </si>
  <si>
    <t>COMMVAULT SYSTEMS, INC.</t>
  </si>
  <si>
    <t>Compass Group</t>
  </si>
  <si>
    <t>COMPASS GROUP PLC</t>
  </si>
  <si>
    <t>Conformis</t>
  </si>
  <si>
    <t>CONFORMIS, INC.</t>
  </si>
  <si>
    <t>Continental</t>
  </si>
  <si>
    <t>CONTINENTAL AG</t>
  </si>
  <si>
    <t>Convatec</t>
  </si>
  <si>
    <t>CONVATEC GROUP PLC</t>
  </si>
  <si>
    <t>Corning</t>
  </si>
  <si>
    <t>CORNING INCORPORATED</t>
  </si>
  <si>
    <t>Corteva</t>
  </si>
  <si>
    <t>CORTEVA, INC</t>
  </si>
  <si>
    <t>Costco</t>
  </si>
  <si>
    <t>COSTCO WHOLESALE CORPORATION</t>
  </si>
  <si>
    <t>Coty</t>
  </si>
  <si>
    <t>COTY INC.</t>
  </si>
  <si>
    <t>Coupa</t>
  </si>
  <si>
    <t>COUPA SOFTWARE INCORPORATED</t>
  </si>
  <si>
    <t>Coursera</t>
  </si>
  <si>
    <t>COURSERA, INC.</t>
  </si>
  <si>
    <t>Covestro</t>
  </si>
  <si>
    <t>COVESTRO AG</t>
  </si>
  <si>
    <t>Crocs</t>
  </si>
  <si>
    <t>CROCS, INC.</t>
  </si>
  <si>
    <t>Cummins</t>
  </si>
  <si>
    <t>CUMMINS INC.</t>
  </si>
  <si>
    <t>Danaher</t>
  </si>
  <si>
    <t>DANAHER CORPORATION</t>
  </si>
  <si>
    <t>DDB</t>
  </si>
  <si>
    <t>OMNICOM GROUP INC.</t>
  </si>
  <si>
    <t>Deckers</t>
  </si>
  <si>
    <t>DECKERS OUTDOOR CORPORATION</t>
  </si>
  <si>
    <t>Deere</t>
  </si>
  <si>
    <t>DEERE &amp; COMPANY</t>
  </si>
  <si>
    <t>Dell</t>
  </si>
  <si>
    <t>DELL TECHNOLOGIES INC.</t>
  </si>
  <si>
    <t>Delta Air Lines</t>
  </si>
  <si>
    <t>DELTA AIR LINES, INC.</t>
  </si>
  <si>
    <t>Dentsply Sirona</t>
  </si>
  <si>
    <t>DENTSPLY SIRONA INC.</t>
  </si>
  <si>
    <t>Dentsu International</t>
  </si>
  <si>
    <t>DENTSU INTERNATIONAL LIMITED</t>
  </si>
  <si>
    <t>Deutsche Bank</t>
  </si>
  <si>
    <t>DEUTSCHE BANK AG</t>
  </si>
  <si>
    <t>Deutsche Telekom</t>
  </si>
  <si>
    <t>DEUTSCHE TELEKOM AG</t>
  </si>
  <si>
    <t>DHL</t>
  </si>
  <si>
    <t>DEUTSCHE POST AG</t>
  </si>
  <si>
    <t>Diageo</t>
  </si>
  <si>
    <t>DIAGEO PLC</t>
  </si>
  <si>
    <t>Diebold Nixdorf</t>
  </si>
  <si>
    <t>DIEBOLD NIXDORF, INC</t>
  </si>
  <si>
    <t>Discover</t>
  </si>
  <si>
    <t>DISCOVER FINANCIAL SERVICES</t>
  </si>
  <si>
    <t>Discovery</t>
  </si>
  <si>
    <t>WARNER BROS. DISCOVERY, INC.</t>
  </si>
  <si>
    <t>Disney</t>
  </si>
  <si>
    <t>WALT DISNEY COMPANY (THE)</t>
  </si>
  <si>
    <t>Donaldson Company</t>
  </si>
  <si>
    <t>DONALDSON COMPANY, INC.</t>
  </si>
  <si>
    <t>Dover Corporation</t>
  </si>
  <si>
    <t>DOVER CORPORATION</t>
  </si>
  <si>
    <t>Dow</t>
  </si>
  <si>
    <t>DOW INC.</t>
  </si>
  <si>
    <t>Duolingo</t>
  </si>
  <si>
    <t>DUOLINGO, INC.</t>
  </si>
  <si>
    <t>DuPont</t>
  </si>
  <si>
    <t>DUPONT DE NEMOURS, INC.</t>
  </si>
  <si>
    <t>DWS</t>
  </si>
  <si>
    <t>DWS GROUP GMBH &amp; CO. KGAA</t>
  </si>
  <si>
    <t>DXC Technology</t>
  </si>
  <si>
    <t>DXC TECHNOLOGY COMPANY</t>
  </si>
  <si>
    <t>E.ON</t>
  </si>
  <si>
    <t>E.ON SE</t>
  </si>
  <si>
    <t>Eaton</t>
  </si>
  <si>
    <t>EATON CORPORATION PLC</t>
  </si>
  <si>
    <t>eBay</t>
  </si>
  <si>
    <t>EBAY INC</t>
  </si>
  <si>
    <t>edX (2U)</t>
  </si>
  <si>
    <t>2U, INC.</t>
  </si>
  <si>
    <t>Elanco</t>
  </si>
  <si>
    <t>ELANCO ANIMAL HEALTH INCORPORATED</t>
  </si>
  <si>
    <t>Electronic Arts</t>
  </si>
  <si>
    <t>ELECTRONIC ARTS INC</t>
  </si>
  <si>
    <t>Eli Lilly</t>
  </si>
  <si>
    <t>ELI LILLY AND COMPANY</t>
  </si>
  <si>
    <t>Emerson Electric</t>
  </si>
  <si>
    <t>EMERSON ELECTRIC CO</t>
  </si>
  <si>
    <t>Energizer</t>
  </si>
  <si>
    <t>ENERGIZER HOLDINGS, INC.</t>
  </si>
  <si>
    <t>EnerSys</t>
  </si>
  <si>
    <t>ENERSYS</t>
  </si>
  <si>
    <t>EPAM</t>
  </si>
  <si>
    <t>EPAM SYSTEMS, INC.</t>
  </si>
  <si>
    <t>Equinix</t>
  </si>
  <si>
    <t>EQUINIX, INC.</t>
  </si>
  <si>
    <t>Estee Lauder</t>
  </si>
  <si>
    <t>THE ESTEE LAUDER COMPANIES INC.</t>
  </si>
  <si>
    <t>Etsy</t>
  </si>
  <si>
    <t>ETSY, INC.</t>
  </si>
  <si>
    <t>Euronet Worldwide</t>
  </si>
  <si>
    <t>EURONET WORLDWIDE INC</t>
  </si>
  <si>
    <t>Evonik</t>
  </si>
  <si>
    <t>EVONIK INDUSTRIES AG</t>
  </si>
  <si>
    <t>Expedia</t>
  </si>
  <si>
    <t>EXPEDIA GROUP, INC.</t>
  </si>
  <si>
    <t>Exxonmobil</t>
  </si>
  <si>
    <t>EXXON MOBIL CORPORATION</t>
  </si>
  <si>
    <t>Farfetch</t>
  </si>
  <si>
    <t>FARFETCH LIMITED</t>
  </si>
  <si>
    <t>FedEx</t>
  </si>
  <si>
    <t>FEDEX CORPORATION</t>
  </si>
  <si>
    <t>FICO</t>
  </si>
  <si>
    <t>FAIR ISAAC CORPORATION</t>
  </si>
  <si>
    <t>Fidelity</t>
  </si>
  <si>
    <t>FIDELITY NATIONAL INFORMATION SERVICES, INC.</t>
  </si>
  <si>
    <t>FIGMA</t>
  </si>
  <si>
    <t>FIGMA INC</t>
  </si>
  <si>
    <t>Finnlines</t>
  </si>
  <si>
    <t>FINNLINES OYJ</t>
  </si>
  <si>
    <t>Fiskars</t>
  </si>
  <si>
    <t>FISKARS OYJ ABP</t>
  </si>
  <si>
    <t>Five9</t>
  </si>
  <si>
    <t>FIVE9, INC.</t>
  </si>
  <si>
    <t>Fleetcor</t>
  </si>
  <si>
    <t>CORPAY INC</t>
  </si>
  <si>
    <t>Flowserve</t>
  </si>
  <si>
    <t>FLOWSERVE CORP</t>
  </si>
  <si>
    <t>FMC Corporation</t>
  </si>
  <si>
    <t>FMC CORP</t>
  </si>
  <si>
    <t>Ford</t>
  </si>
  <si>
    <t>FORD MOTOR COMPANY</t>
  </si>
  <si>
    <t>Fortinet</t>
  </si>
  <si>
    <t>FORTINET, INC.</t>
  </si>
  <si>
    <t>Fortive</t>
  </si>
  <si>
    <t>FORTIVE CORPORATION</t>
  </si>
  <si>
    <t>Fortum</t>
  </si>
  <si>
    <t>FORTUM OYJ</t>
  </si>
  <si>
    <t>Fresenius</t>
  </si>
  <si>
    <t>FRESENIUS SE &amp; CO. KGAA</t>
  </si>
  <si>
    <t>Gap Inc</t>
  </si>
  <si>
    <t>THE GAP, INC.</t>
  </si>
  <si>
    <t>Garmin</t>
  </si>
  <si>
    <t>GARMIN LTD.</t>
  </si>
  <si>
    <t>GEA Group</t>
  </si>
  <si>
    <t>GEA GROUP AKTIENGESELLSCHAFT</t>
  </si>
  <si>
    <t>Generac</t>
  </si>
  <si>
    <t>GENERAC HOLDINGS INC.</t>
  </si>
  <si>
    <t>General Electric (GE)</t>
  </si>
  <si>
    <t>GENERAL ELECTRIC COMPANY</t>
  </si>
  <si>
    <t>General Mills</t>
  </si>
  <si>
    <t>GENERAL MILLS, INC.</t>
  </si>
  <si>
    <t>Gerry Weber</t>
  </si>
  <si>
    <t>GERRY WEBER INTERNATIONAL GMBH</t>
  </si>
  <si>
    <t>Gilead Sciences</t>
  </si>
  <si>
    <t>GILEAD SCIENCES, INC.</t>
  </si>
  <si>
    <t>GlaxoSmithKline</t>
  </si>
  <si>
    <t>GSK PLC</t>
  </si>
  <si>
    <t>Global Foundries</t>
  </si>
  <si>
    <t>GLOBALFOUNDRIES INC.</t>
  </si>
  <si>
    <t>GM</t>
  </si>
  <si>
    <t>GENERAL MOTORS COMPANY</t>
  </si>
  <si>
    <t>GoDaddy</t>
  </si>
  <si>
    <t>GODADDY INC.</t>
  </si>
  <si>
    <t>Goldman Sachs</t>
  </si>
  <si>
    <t>THE GOLDMAN SACHS GROUP, INC.</t>
  </si>
  <si>
    <t>Goodyear</t>
  </si>
  <si>
    <t>THE GOODYEAR TIRE &amp; RUBBER COMPANY</t>
  </si>
  <si>
    <t>Greif</t>
  </si>
  <si>
    <t>GREIF INC</t>
  </si>
  <si>
    <t>Guess</t>
  </si>
  <si>
    <t>GUESS, INC.</t>
  </si>
  <si>
    <t>GXO Logistics</t>
  </si>
  <si>
    <t>GXO LOGISTICS, INC.</t>
  </si>
  <si>
    <t>Halliburton</t>
  </si>
  <si>
    <t>HALLIBURTON CO</t>
  </si>
  <si>
    <t>Hannover Re</t>
  </si>
  <si>
    <t>HANNOVER RUECK SE</t>
  </si>
  <si>
    <t>Hapag Lloyd</t>
  </si>
  <si>
    <t>HAPAG-LLOYD AG</t>
  </si>
  <si>
    <t>Harley-Davidson</t>
  </si>
  <si>
    <t>HARLEY-DAVIDSON, INC.</t>
  </si>
  <si>
    <t>Harvia</t>
  </si>
  <si>
    <t>HARVIA OYJ</t>
  </si>
  <si>
    <t>Hasbro</t>
  </si>
  <si>
    <t>HASBRO, INC.</t>
  </si>
  <si>
    <t>Hays plc</t>
  </si>
  <si>
    <t>HAYS PLC</t>
  </si>
  <si>
    <t>HeidelbergCement</t>
  </si>
  <si>
    <t>HEIDELBERG MATERIALS AG</t>
  </si>
  <si>
    <t>Heidrick &amp; Struggles</t>
  </si>
  <si>
    <t>HEIDRICK &amp; STRUGGLES INTERNATIONAL, INC.</t>
  </si>
  <si>
    <t>Henkel</t>
  </si>
  <si>
    <t>HENKEL AG &amp; CO. KGAA</t>
  </si>
  <si>
    <t>Herbalife</t>
  </si>
  <si>
    <t>HERBALIFE LTD.</t>
  </si>
  <si>
    <t>Hertz</t>
  </si>
  <si>
    <t>HERTZ GLOBAL HOLDINGS, INC</t>
  </si>
  <si>
    <t>HHLA</t>
  </si>
  <si>
    <t>HAMBURGER HAFEN UND LOGISTIK AG</t>
  </si>
  <si>
    <t>Hilton</t>
  </si>
  <si>
    <t>HILTON WORLDWIDE HOLDINGS INC.</t>
  </si>
  <si>
    <t>Honeywell</t>
  </si>
  <si>
    <t>HONEYWELL INTERNATIONAL INC</t>
  </si>
  <si>
    <t>HP Enterprise (Independent from HP Inc.)</t>
  </si>
  <si>
    <t>HEWLETT PACKARD ENTERPRISE COMPANY</t>
  </si>
  <si>
    <t>HP Inc.</t>
  </si>
  <si>
    <t>HP INC.</t>
  </si>
  <si>
    <t>HSBC</t>
  </si>
  <si>
    <t>HSBC HOLDINGS PLC</t>
  </si>
  <si>
    <t>Hugo Boss</t>
  </si>
  <si>
    <t>HUGO BOSS AG</t>
  </si>
  <si>
    <t>Huhtamaki</t>
  </si>
  <si>
    <t>HUHTAMAKI OYJ</t>
  </si>
  <si>
    <t>Huntsman Corporation</t>
  </si>
  <si>
    <t>HUNTSMAN CORPORATION</t>
  </si>
  <si>
    <t>Hyatt</t>
  </si>
  <si>
    <t>HYATT HOTELS CORPORATION</t>
  </si>
  <si>
    <t>Hyve</t>
  </si>
  <si>
    <t>HYVE GROUP LIMITED</t>
  </si>
  <si>
    <t>IBM</t>
  </si>
  <si>
    <t>INTERNATIONAL BUSINESS MACHINES CORP</t>
  </si>
  <si>
    <t>IDEXX Labs</t>
  </si>
  <si>
    <t>IDEXX LABORATORIES, INC.</t>
  </si>
  <si>
    <t>IFF</t>
  </si>
  <si>
    <t>INTERNATIONAL FLAVORS &amp; FRAGRANCES INC</t>
  </si>
  <si>
    <t>Illinois Tool Works</t>
  </si>
  <si>
    <t>ILLINOIS TOOL WORKS INC.</t>
  </si>
  <si>
    <t>IMI Plc</t>
  </si>
  <si>
    <t>IMI PLC</t>
  </si>
  <si>
    <t>Imperial Brands</t>
  </si>
  <si>
    <t>IMPERIAL BRANDS PLC</t>
  </si>
  <si>
    <t>Inchcape</t>
  </si>
  <si>
    <t>INCHCAPE PLC</t>
  </si>
  <si>
    <t>Infineon</t>
  </si>
  <si>
    <t>INFINEON TECHNOLOGIES AG</t>
  </si>
  <si>
    <t>Ingersoll Rand</t>
  </si>
  <si>
    <t>INGERSOLL RAND INC.</t>
  </si>
  <si>
    <t>Ingram Micro</t>
  </si>
  <si>
    <t>INGRAM MICRO HOLDING CORPORATION</t>
  </si>
  <si>
    <t>Intel</t>
  </si>
  <si>
    <t>INTEL CORP</t>
  </si>
  <si>
    <t>Intercontinental Exchange</t>
  </si>
  <si>
    <t>INTERCONTINENTAL EXCHANGE, INC.</t>
  </si>
  <si>
    <t>Intercontinental Hotels (IHG)</t>
  </si>
  <si>
    <t>INTERCONTINENTAL HOTELS GROUP PLC</t>
  </si>
  <si>
    <t>International Paper</t>
  </si>
  <si>
    <t>INTERNATIONAL PAPER COMPANY</t>
  </si>
  <si>
    <t>Interpublic Group</t>
  </si>
  <si>
    <t>THE INTERPUBLIC GROUP OF COMPANIES, INC.</t>
  </si>
  <si>
    <t>Intertek</t>
  </si>
  <si>
    <t>INTERTEK GROUP PLC</t>
  </si>
  <si>
    <t>Intuit</t>
  </si>
  <si>
    <t>INTUIT INC</t>
  </si>
  <si>
    <t>IPG Photonics</t>
  </si>
  <si>
    <t>IPG PHOTONICS CORPORATION</t>
  </si>
  <si>
    <t>IQVIA</t>
  </si>
  <si>
    <t>IQVIA HOLDINGS INC.</t>
  </si>
  <si>
    <t>Iridium</t>
  </si>
  <si>
    <t>IRIDIUM COMMUNICATIONS INC.</t>
  </si>
  <si>
    <t>J Sainsbury</t>
  </si>
  <si>
    <t>SAINSBURY (J) PLC</t>
  </si>
  <si>
    <t>Jabil</t>
  </si>
  <si>
    <t>JABIL, INC.</t>
  </si>
  <si>
    <t>JD Sports</t>
  </si>
  <si>
    <t>JD SPORTS FASHION PLC</t>
  </si>
  <si>
    <t>JKX</t>
  </si>
  <si>
    <t>JKX OIL &amp; GAS LIMITED</t>
  </si>
  <si>
    <t>JLL</t>
  </si>
  <si>
    <t>JONES LANG LASALLE INC</t>
  </si>
  <si>
    <t>John Wood Group</t>
  </si>
  <si>
    <t>JOHN WOOD GROUP PLC</t>
  </si>
  <si>
    <t>Johnson &amp; Johnson</t>
  </si>
  <si>
    <t>JOHNSON &amp; JOHNSON</t>
  </si>
  <si>
    <t>Johnson Matthey</t>
  </si>
  <si>
    <t>JOHNSON MATTHEY PLC</t>
  </si>
  <si>
    <t>JPMorgan</t>
  </si>
  <si>
    <t>JPMORGAN CHASE &amp; CO</t>
  </si>
  <si>
    <t>Juniper Networks</t>
  </si>
  <si>
    <t>JUNIPER NETWORKS, INC.</t>
  </si>
  <si>
    <t>Kelly</t>
  </si>
  <si>
    <t>KELLY SERVICES, INC.</t>
  </si>
  <si>
    <t>Kemira</t>
  </si>
  <si>
    <t>KEMIRA OYJ</t>
  </si>
  <si>
    <t>Kennametal</t>
  </si>
  <si>
    <t>KENNAMETAL INC.</t>
  </si>
  <si>
    <t>Kesko</t>
  </si>
  <si>
    <t>KESKO OYJ</t>
  </si>
  <si>
    <t>Kimberly-Clark</t>
  </si>
  <si>
    <t>KIMBERLY-CLARK CORPORATION</t>
  </si>
  <si>
    <t>KION Group</t>
  </si>
  <si>
    <t>KION GROUP AG</t>
  </si>
  <si>
    <t>Knorr-Bremse</t>
  </si>
  <si>
    <t>KNORR-BREMSE AG</t>
  </si>
  <si>
    <t>KONE</t>
  </si>
  <si>
    <t>KONE OYJ</t>
  </si>
  <si>
    <t>Konecranes</t>
  </si>
  <si>
    <t>KONECRANES OYJ</t>
  </si>
  <si>
    <t>Korn Ferry</t>
  </si>
  <si>
    <t>KORN FERRY</t>
  </si>
  <si>
    <t>Koskisen</t>
  </si>
  <si>
    <t>KOSKISEN OYJ</t>
  </si>
  <si>
    <t>Kraft Heinz - JBS</t>
  </si>
  <si>
    <t>THE KRAFT HEINZ COMPANY</t>
  </si>
  <si>
    <t>Krispy Kreme</t>
  </si>
  <si>
    <t>KRISPY KREME DOUGHNUTS INC</t>
  </si>
  <si>
    <t>KUKA</t>
  </si>
  <si>
    <t>KUKA AG</t>
  </si>
  <si>
    <t>Lamb Weston</t>
  </si>
  <si>
    <t>LAMB WESTON HOLDINGS, INC.</t>
  </si>
  <si>
    <t>Lanxess</t>
  </si>
  <si>
    <t>LANXESS AG</t>
  </si>
  <si>
    <t>Lear Corporation</t>
  </si>
  <si>
    <t>LEAR CORPORATION</t>
  </si>
  <si>
    <t>Legal &amp; General</t>
  </si>
  <si>
    <t>LEGAL &amp; GENERAL GROUP PLC</t>
  </si>
  <si>
    <t>Leica Camera AG</t>
  </si>
  <si>
    <t>LEICA CAMERA AG</t>
  </si>
  <si>
    <t>Levi Strauss</t>
  </si>
  <si>
    <t>LEVI STRAUSS &amp; CO.</t>
  </si>
  <si>
    <t>Lexmark</t>
  </si>
  <si>
    <t>LEXMARK INTERNATIONAL INC</t>
  </si>
  <si>
    <t>Lincoln Electric</t>
  </si>
  <si>
    <t>LINCOLN ELECTRIC HOLDINGS, INC.</t>
  </si>
  <si>
    <t>Linde</t>
  </si>
  <si>
    <t>LINDE PUBLIC LIMITED COMPANY</t>
  </si>
  <si>
    <t>Live Nation Entertainment</t>
  </si>
  <si>
    <t>LIVE NATION ENTERTAINMENT, INC.</t>
  </si>
  <si>
    <t>London Stock Exchange Group</t>
  </si>
  <si>
    <t>LONDON STOCK EXCHANGE GROUP PLC</t>
  </si>
  <si>
    <t>Loyalty Ventures</t>
  </si>
  <si>
    <t>LOYALTY VENTURES INC.</t>
  </si>
  <si>
    <t>Lufthansa</t>
  </si>
  <si>
    <t>DEUTSCHE LUFTHANSA AKTIENGESELLSCHAFT</t>
  </si>
  <si>
    <t>Lumen</t>
  </si>
  <si>
    <t>LUMEN TECHNOLOGIES, INC.</t>
  </si>
  <si>
    <t>M&amp;G</t>
  </si>
  <si>
    <t>M&amp;G PLC</t>
  </si>
  <si>
    <t>MAN</t>
  </si>
  <si>
    <t>MAN SE</t>
  </si>
  <si>
    <t>Manitowoc</t>
  </si>
  <si>
    <t>THE MANITOWOC COMPANY, INC.</t>
  </si>
  <si>
    <t>Marks &amp; Spencer</t>
  </si>
  <si>
    <t>MARKS AND SPENCER GROUP PLC</t>
  </si>
  <si>
    <t>Marriott</t>
  </si>
  <si>
    <t>MARRIOTT INTERNATIONAL, INC.</t>
  </si>
  <si>
    <t>Marsh McLennan</t>
  </si>
  <si>
    <t>MARSH &amp; MCLENNAN COMPANIES, INC.</t>
  </si>
  <si>
    <t>Marvell</t>
  </si>
  <si>
    <t>MARVELL TECHNOLOGY, INC.</t>
  </si>
  <si>
    <t>Mastercard</t>
  </si>
  <si>
    <t>MASTERCARD INCORPORATED</t>
  </si>
  <si>
    <t>Mattel</t>
  </si>
  <si>
    <t>MATTEL, INC.</t>
  </si>
  <si>
    <t>Mayr-Melnhof</t>
  </si>
  <si>
    <t>MAYR-MELNHOF KARTON AG</t>
  </si>
  <si>
    <t>McCormick</t>
  </si>
  <si>
    <t>MCCORMICK &amp; COMPANY, INCORPORATED</t>
  </si>
  <si>
    <t>McDonald's</t>
  </si>
  <si>
    <t>MCDONALD'S CORPORATION</t>
  </si>
  <si>
    <t>Medtronic</t>
  </si>
  <si>
    <t>MEDTRONIC PUBLIC LIMITED COMPANY</t>
  </si>
  <si>
    <t>Meggit</t>
  </si>
  <si>
    <t>MEGGITT LIMITED</t>
  </si>
  <si>
    <t>Mercedes-Benz</t>
  </si>
  <si>
    <t>MERCEDES-BENZ GROUP AG</t>
  </si>
  <si>
    <t>Merck Group</t>
  </si>
  <si>
    <t>MERCK &amp; CO., INC.</t>
  </si>
  <si>
    <t>Merck KGaA</t>
  </si>
  <si>
    <t>MERCK KGAA</t>
  </si>
  <si>
    <t>Meta</t>
  </si>
  <si>
    <t>META PLATFORMS, INC.</t>
  </si>
  <si>
    <t>Metro</t>
  </si>
  <si>
    <t>METRO AG</t>
  </si>
  <si>
    <t>Mettler Toledo</t>
  </si>
  <si>
    <t>METTLER-TOLEDO INTERNATIONAL INC.</t>
  </si>
  <si>
    <t>Micro Focus</t>
  </si>
  <si>
    <t>MICRO FOCUS INTERNATIONAL LIMITED</t>
  </si>
  <si>
    <t>Micron</t>
  </si>
  <si>
    <t>MICRON TECHNOLOGY, INC.</t>
  </si>
  <si>
    <t>Microsoft</t>
  </si>
  <si>
    <t>MICROSOFT CORPORATION</t>
  </si>
  <si>
    <t>Mohawk Industries</t>
  </si>
  <si>
    <t>MOHAWK INDUSTRIES, INC.</t>
  </si>
  <si>
    <t>Mondelez - Nabisco</t>
  </si>
  <si>
    <t>MONDELEZ INTERNATIONAL, INC.</t>
  </si>
  <si>
    <t>Mondi</t>
  </si>
  <si>
    <t>MONDI PLC</t>
  </si>
  <si>
    <t>Moneygram</t>
  </si>
  <si>
    <t>MONEYGRAM INTERNATIONAL, INC.</t>
  </si>
  <si>
    <t>MongoDB</t>
  </si>
  <si>
    <t>MONGODB, INC.</t>
  </si>
  <si>
    <t>Moody's</t>
  </si>
  <si>
    <t>MOODY'S CORPORATION</t>
  </si>
  <si>
    <t>Moog Inc.</t>
  </si>
  <si>
    <t>MOOG INC.</t>
  </si>
  <si>
    <t>Morgan Advanced Materials</t>
  </si>
  <si>
    <t>MORGAN ADVANCED MATERIALS PLC</t>
  </si>
  <si>
    <t>Morrisons</t>
  </si>
  <si>
    <t>WM MORRISON SUPERMARKETS LIMITED</t>
  </si>
  <si>
    <t>Mothercare</t>
  </si>
  <si>
    <t>MOTHERCARE PLC</t>
  </si>
  <si>
    <t>Motorola Solutions</t>
  </si>
  <si>
    <t>MOTOROLA SOLUTIONS, INC.</t>
  </si>
  <si>
    <t>MSCI</t>
  </si>
  <si>
    <t>MSCI INC.</t>
  </si>
  <si>
    <t>Muehlhan AG</t>
  </si>
  <si>
    <t>GIVE AG</t>
  </si>
  <si>
    <t>Munich Re</t>
  </si>
  <si>
    <t>MUNCHENER RUCKVERSICHERUNGS-GESELLSCHAFT AKTIENGESELLSCHAFT IN MUNCHEN</t>
  </si>
  <si>
    <t>Nalco Water (Ecolab)</t>
  </si>
  <si>
    <t>ECOLAB INC.</t>
  </si>
  <si>
    <t>Nasdaq</t>
  </si>
  <si>
    <t>NASDAQ, INC.</t>
  </si>
  <si>
    <t>National Oilwell Varco</t>
  </si>
  <si>
    <t>NOV INC</t>
  </si>
  <si>
    <t>Natura</t>
  </si>
  <si>
    <t>NATURA COSMETICOS S.A.</t>
  </si>
  <si>
    <t>Nature's Sunshine</t>
  </si>
  <si>
    <t>NATURE'S SUNSHINE PRODUCTS, INC.</t>
  </si>
  <si>
    <t>NCR</t>
  </si>
  <si>
    <t>NCR VOYIX CORP</t>
  </si>
  <si>
    <t>Nemetschek Group</t>
  </si>
  <si>
    <t>NEMETSCHEK SE</t>
  </si>
  <si>
    <t>Neste Oyj</t>
  </si>
  <si>
    <t>NESTE OYJ</t>
  </si>
  <si>
    <t>NetApp</t>
  </si>
  <si>
    <t>NETAPP, INC.</t>
  </si>
  <si>
    <t>Netflix</t>
  </si>
  <si>
    <t>NETFLIX, INC.</t>
  </si>
  <si>
    <t>Netscout</t>
  </si>
  <si>
    <t>NETSCOUT SYSTEMS, INC.</t>
  </si>
  <si>
    <t>Next</t>
  </si>
  <si>
    <t>NEXT PLC</t>
  </si>
  <si>
    <t>NielsenIQ</t>
  </si>
  <si>
    <t>NIELSEN HOLDINGS LIMITED</t>
  </si>
  <si>
    <t>Nike</t>
  </si>
  <si>
    <t>NIKE INC</t>
  </si>
  <si>
    <t>Nokia</t>
  </si>
  <si>
    <t>NOKIA OYJ</t>
  </si>
  <si>
    <t>Nokian Tyres</t>
  </si>
  <si>
    <t>NOKIAN RENKAAT OYJ</t>
  </si>
  <si>
    <t>Nordea Bank</t>
  </si>
  <si>
    <t>NORDEA BANK ABP</t>
  </si>
  <si>
    <t>Nordson</t>
  </si>
  <si>
    <t>NORDSON CORPORATION</t>
  </si>
  <si>
    <t>Norton</t>
  </si>
  <si>
    <t>GEN DIGITAL INC.</t>
  </si>
  <si>
    <t>Nu Skin</t>
  </si>
  <si>
    <t>NU SKIN ENTERPRISES, INC.</t>
  </si>
  <si>
    <t>Nutanix</t>
  </si>
  <si>
    <t>NUTANIX, INC.</t>
  </si>
  <si>
    <t>Nvidia</t>
  </si>
  <si>
    <t>NVIDIA CORPORATION</t>
  </si>
  <si>
    <t>Okta</t>
  </si>
  <si>
    <t>OKTA, INC.</t>
  </si>
  <si>
    <t>Olvi</t>
  </si>
  <si>
    <t>OLVI OYJ</t>
  </si>
  <si>
    <t>ON24</t>
  </si>
  <si>
    <t>ON24, INC.</t>
  </si>
  <si>
    <t>Oracle</t>
  </si>
  <si>
    <t>ORACLE CORP</t>
  </si>
  <si>
    <t>Orion</t>
  </si>
  <si>
    <t>ORION OYJ</t>
  </si>
  <si>
    <t>Otis Worldwide</t>
  </si>
  <si>
    <t>OTIS WORLDWIDE CORPORATION</t>
  </si>
  <si>
    <t>Ottobock</t>
  </si>
  <si>
    <t>OTTOBOCK SE &amp; CO. KGAA</t>
  </si>
  <si>
    <t>Outokumpu</t>
  </si>
  <si>
    <t>OUTOKUMPU OYJ</t>
  </si>
  <si>
    <t>Owens Corning</t>
  </si>
  <si>
    <t>OWENS CORNING</t>
  </si>
  <si>
    <t>Paccar</t>
  </si>
  <si>
    <t>PACCAR INC</t>
  </si>
  <si>
    <t>PagerDuty</t>
  </si>
  <si>
    <t>PAGERDUTY, INC.</t>
  </si>
  <si>
    <t>Papa John's</t>
  </si>
  <si>
    <t>PAPA JOHN'S INTERNATIONAL, INC.</t>
  </si>
  <si>
    <t>Par Pacific</t>
  </si>
  <si>
    <t>PAR PACIFIC HOLDINGS, INC.</t>
  </si>
  <si>
    <t>Paramount</t>
  </si>
  <si>
    <t>PARAMOUNT GLOBAL</t>
  </si>
  <si>
    <t>Parker Hannifin</t>
  </si>
  <si>
    <t>PARKER-HANNIFIN CORPORATION</t>
  </si>
  <si>
    <t>Payoneer</t>
  </si>
  <si>
    <t>PAYONEER GLOBAL INC.</t>
  </si>
  <si>
    <t>Paypal</t>
  </si>
  <si>
    <t>PAYPAL HOLDINGS, INC.</t>
  </si>
  <si>
    <t>Pentair</t>
  </si>
  <si>
    <t>PENTAIR PLC</t>
  </si>
  <si>
    <t>PepsiCo</t>
  </si>
  <si>
    <t>PEPSICO INC</t>
  </si>
  <si>
    <t>Petrofac</t>
  </si>
  <si>
    <t>PETROFAC LIMITED</t>
  </si>
  <si>
    <t>Pfizer</t>
  </si>
  <si>
    <t>PFIZER INC</t>
  </si>
  <si>
    <t>Phibro Animal Health Corp</t>
  </si>
  <si>
    <t>PHIBRO ANIMAL HEALTH CORPORATION</t>
  </si>
  <si>
    <t>Philip Morris</t>
  </si>
  <si>
    <t>PHILIP MORRIS INTERNATIONAL INC.</t>
  </si>
  <si>
    <t>PHX</t>
  </si>
  <si>
    <t>PHX ENERGY SERVICES CORP.</t>
  </si>
  <si>
    <t>Polaris</t>
  </si>
  <si>
    <t>POLARIS INC.</t>
  </si>
  <si>
    <t>Ponsse PLC</t>
  </si>
  <si>
    <t>PONSSE OYJ</t>
  </si>
  <si>
    <t>Porsche</t>
  </si>
  <si>
    <t>DR. ING. H.C. F. PORSCHE AG</t>
  </si>
  <si>
    <t>PPG</t>
  </si>
  <si>
    <t>PPG INDUSTRIES, INC.</t>
  </si>
  <si>
    <t>Princess Cruises</t>
  </si>
  <si>
    <t>CARNIVAL PLC</t>
  </si>
  <si>
    <t>Procter &amp; Gamble (P&amp;G)</t>
  </si>
  <si>
    <t>THE PROCTER &amp; GAMBLE COMPANY</t>
  </si>
  <si>
    <t>PTC</t>
  </si>
  <si>
    <t>PTC INC.</t>
  </si>
  <si>
    <t>Puma</t>
  </si>
  <si>
    <t>PUMA SE</t>
  </si>
  <si>
    <t>Pure Storage</t>
  </si>
  <si>
    <t>EVERPURE, INC</t>
  </si>
  <si>
    <t>Purmo Group</t>
  </si>
  <si>
    <t>PURMO GROUP OY</t>
  </si>
  <si>
    <t>PVH</t>
  </si>
  <si>
    <t>PVH CORP.</t>
  </si>
  <si>
    <t>Qualcomm</t>
  </si>
  <si>
    <t>QUALCOMM INCORPORATED</t>
  </si>
  <si>
    <t>Quicksilver</t>
  </si>
  <si>
    <t>BOARDRIDERS, INC.</t>
  </si>
  <si>
    <t>Raisio</t>
  </si>
  <si>
    <t>RAISIO OYJ</t>
  </si>
  <si>
    <t>Ralph Lauren</t>
  </si>
  <si>
    <t>RALPH LAUREN CORPORATION</t>
  </si>
  <si>
    <t>Rational</t>
  </si>
  <si>
    <t>RATIONAL AG</t>
  </si>
  <si>
    <t>Raytheon</t>
  </si>
  <si>
    <t>RTX CORPORATION</t>
  </si>
  <si>
    <t>Reckitt Benckiser Group</t>
  </si>
  <si>
    <t>RECKITT BENCKISER GROUP PLC</t>
  </si>
  <si>
    <t>Red Hat</t>
  </si>
  <si>
    <t>RED HAT INC</t>
  </si>
  <si>
    <t>Remitly Global</t>
  </si>
  <si>
    <t>REMITLY GLOBAL, INC.</t>
  </si>
  <si>
    <t>Renishaw</t>
  </si>
  <si>
    <t>RENISHAW PLC</t>
  </si>
  <si>
    <t>Rockwell Automation</t>
  </si>
  <si>
    <t>ROCKWELL AUTOMATION, INC.</t>
  </si>
  <si>
    <t>Roku</t>
  </si>
  <si>
    <t>ROKU, INC.</t>
  </si>
  <si>
    <t>Rolls Royce</t>
  </si>
  <si>
    <t>ROLLS-ROYCE PLC</t>
  </si>
  <si>
    <t>Rotork</t>
  </si>
  <si>
    <t>ROTORK PLC</t>
  </si>
  <si>
    <t>Rovio</t>
  </si>
  <si>
    <t>ROVIO ENTERTAINMENT OY</t>
  </si>
  <si>
    <t>Royal Caribbean Cruises</t>
  </si>
  <si>
    <t>ROYAL CARIBBEAN CRUISES LIMITED</t>
  </si>
  <si>
    <t>RWS</t>
  </si>
  <si>
    <t>RWS HOLDINGS PLC</t>
  </si>
  <si>
    <t>Sabre</t>
  </si>
  <si>
    <t>SABRE CORPORATION</t>
  </si>
  <si>
    <t>Salesforce</t>
  </si>
  <si>
    <t>SALESFORCE INC</t>
  </si>
  <si>
    <t>Salzgitter</t>
  </si>
  <si>
    <t>SALZGITTER AG</t>
  </si>
  <si>
    <t>SAP</t>
  </si>
  <si>
    <t>SAP SE</t>
  </si>
  <si>
    <t>Savills</t>
  </si>
  <si>
    <t>SAVILLS PLC</t>
  </si>
  <si>
    <t>Schaeffler</t>
  </si>
  <si>
    <t>SCHAEFFLER AG</t>
  </si>
  <si>
    <t>Senior PLC</t>
  </si>
  <si>
    <t>SENIOR PLC</t>
  </si>
  <si>
    <t>Shell</t>
  </si>
  <si>
    <t>SHELL PLC</t>
  </si>
  <si>
    <t>Sherwin Williams</t>
  </si>
  <si>
    <t>SHERWIN WILLIAMS COMPANY (THE)</t>
  </si>
  <si>
    <t>Shutterstock</t>
  </si>
  <si>
    <t>SHUTTERSTOCK, INC.</t>
  </si>
  <si>
    <t>Siemens</t>
  </si>
  <si>
    <t>SIEMENS AG</t>
  </si>
  <si>
    <t>Siemens Energy AG</t>
  </si>
  <si>
    <t>SIEMENS ENERGY AG</t>
  </si>
  <si>
    <t>Siemens Healthineers</t>
  </si>
  <si>
    <t>SIEMENS HEALTHINEERS AG</t>
  </si>
  <si>
    <t>Signet Jewelers</t>
  </si>
  <si>
    <t>SIGNET JEWELERS LIMITED</t>
  </si>
  <si>
    <t>Sketchers</t>
  </si>
  <si>
    <t>SKECHERS USA INC</t>
  </si>
  <si>
    <t>Slack</t>
  </si>
  <si>
    <t>SLACK TECHNOLOGIES, INC.</t>
  </si>
  <si>
    <t>SLB | Schlumberger</t>
  </si>
  <si>
    <t>SLB LIMITED</t>
  </si>
  <si>
    <t>Smith &amp; Nephew PLC</t>
  </si>
  <si>
    <t>SMITH &amp; NEPHEW PLC</t>
  </si>
  <si>
    <t>Snap</t>
  </si>
  <si>
    <t>SNAP INC.</t>
  </si>
  <si>
    <t>Sonos</t>
  </si>
  <si>
    <t>SONOS, INC.</t>
  </si>
  <si>
    <t>SRV</t>
  </si>
  <si>
    <t>SRV YHTIOT OYJ</t>
  </si>
  <si>
    <t>Stada Arzneimittel</t>
  </si>
  <si>
    <t>STADA ARZNEIMITTEL AKTIENGESELLSCHAFT</t>
  </si>
  <si>
    <t>Standard Chartered</t>
  </si>
  <si>
    <t>STANDARD CHARTERED PLC</t>
  </si>
  <si>
    <t>Stanley Black &amp; Decker</t>
  </si>
  <si>
    <t>STANLEY BLACK &amp; DECKER, INC.</t>
  </si>
  <si>
    <t>Starbucks</t>
  </si>
  <si>
    <t>STARBUCKS CORPORATION</t>
  </si>
  <si>
    <t>State Street</t>
  </si>
  <si>
    <t>STATE STREET CORPORATION</t>
  </si>
  <si>
    <t>Stora Enso</t>
  </si>
  <si>
    <t>STORA ENSO OYJ</t>
  </si>
  <si>
    <t>Stryker</t>
  </si>
  <si>
    <t>STRYKER CORPORATION</t>
  </si>
  <si>
    <t>Sylvamo</t>
  </si>
  <si>
    <t>SYLVAMO CORPORATION</t>
  </si>
  <si>
    <t>Symrise</t>
  </si>
  <si>
    <t>SYMRISE AG</t>
  </si>
  <si>
    <t>Synopsys</t>
  </si>
  <si>
    <t>SYNOPSYS, INC.</t>
  </si>
  <si>
    <t>Take-Two Interactive</t>
  </si>
  <si>
    <t>TAKE-TWO INTERACTIVE SOFTWARE INC.</t>
  </si>
  <si>
    <t>TeamViewer</t>
  </si>
  <si>
    <t>TEAMVIEWER SE</t>
  </si>
  <si>
    <t>Tennant</t>
  </si>
  <si>
    <t>TENNANT COMPANY</t>
  </si>
  <si>
    <t>Tenneco</t>
  </si>
  <si>
    <t>TENNECO INC.</t>
  </si>
  <si>
    <t>Teradata</t>
  </si>
  <si>
    <t>TERADATA CORPORATION</t>
  </si>
  <si>
    <t>Terex Corporation</t>
  </si>
  <si>
    <t>TEREX CORPORATION</t>
  </si>
  <si>
    <t>Thermo Fisher</t>
  </si>
  <si>
    <t>THERMO FISHER SCIENTIFIC INC.</t>
  </si>
  <si>
    <t>ThyssenKrupp</t>
  </si>
  <si>
    <t>THYSSENKRUPP AG</t>
  </si>
  <si>
    <t>Tietoevry</t>
  </si>
  <si>
    <t>TIETOEVRY OYJ</t>
  </si>
  <si>
    <t>Tikkurila</t>
  </si>
  <si>
    <t>TIKKURILA OYJ</t>
  </si>
  <si>
    <t>Timken</t>
  </si>
  <si>
    <t>THE TIMKEN COMPANY</t>
  </si>
  <si>
    <t>Titan International</t>
  </si>
  <si>
    <t>TITAN INTERNATIONAL, INC.</t>
  </si>
  <si>
    <t>TJ Maxx</t>
  </si>
  <si>
    <t>THE TJX COMPANIES, INC.</t>
  </si>
  <si>
    <t>Trimble</t>
  </si>
  <si>
    <t>TRIMBLE INC.</t>
  </si>
  <si>
    <t>TripAdvisor</t>
  </si>
  <si>
    <t>TRIPADVISOR, INC.</t>
  </si>
  <si>
    <t>TUI</t>
  </si>
  <si>
    <t>TUI AG</t>
  </si>
  <si>
    <t>Tupperware</t>
  </si>
  <si>
    <t>TUPPERWARE BRANDS CORPORATION</t>
  </si>
  <si>
    <t>Twin Disc</t>
  </si>
  <si>
    <t>TWIN DISC, INCORPORATED</t>
  </si>
  <si>
    <t>Twitter</t>
  </si>
  <si>
    <t>TWITTER, INC.</t>
  </si>
  <si>
    <t>Uber</t>
  </si>
  <si>
    <t>UBER TECHNOLOGIES, INC.</t>
  </si>
  <si>
    <t>UiPath</t>
  </si>
  <si>
    <t>UIPATH, INC.</t>
  </si>
  <si>
    <t>Under Armour</t>
  </si>
  <si>
    <t>UNDER ARMOUR, INC.</t>
  </si>
  <si>
    <t>Unilever</t>
  </si>
  <si>
    <t>UNILEVER PLC</t>
  </si>
  <si>
    <t>Uniper SE</t>
  </si>
  <si>
    <t>UNIPER SE</t>
  </si>
  <si>
    <t>United Airlines</t>
  </si>
  <si>
    <t>UNITED AIRLINES, INC.</t>
  </si>
  <si>
    <t>United Internet Group</t>
  </si>
  <si>
    <t>UNITED INTERNET AG</t>
  </si>
  <si>
    <t>Universal</t>
  </si>
  <si>
    <t>UNIVERSAL CORPORATION</t>
  </si>
  <si>
    <t>UPM</t>
  </si>
  <si>
    <t>UPM-KYMMENE OYJ</t>
  </si>
  <si>
    <t>Uponor</t>
  </si>
  <si>
    <t>UPONOR OYJ</t>
  </si>
  <si>
    <t>UPS</t>
  </si>
  <si>
    <t>UNITED PARCEL SERVICE INC</t>
  </si>
  <si>
    <t>Upwork</t>
  </si>
  <si>
    <t>UPWORK INC.</t>
  </si>
  <si>
    <t>Valero Energy</t>
  </si>
  <si>
    <t>VALERO ENERGY CORPORATION</t>
  </si>
  <si>
    <t>Valmet</t>
  </si>
  <si>
    <t>VALMET OYJ</t>
  </si>
  <si>
    <t>Vesuvius</t>
  </si>
  <si>
    <t>VESUVIUS PLC</t>
  </si>
  <si>
    <t>VF Corporation</t>
  </si>
  <si>
    <t>V.F. CORPORATION</t>
  </si>
  <si>
    <t>Viatris</t>
  </si>
  <si>
    <t>VIATRIS INC.</t>
  </si>
  <si>
    <t>Villeroy &amp; Boch</t>
  </si>
  <si>
    <t>VILLEROY &amp; BOCH AG</t>
  </si>
  <si>
    <t>Vimeo</t>
  </si>
  <si>
    <t>VIMEO, INC.</t>
  </si>
  <si>
    <t>Visa</t>
  </si>
  <si>
    <t>VISA INC</t>
  </si>
  <si>
    <t>Visteon</t>
  </si>
  <si>
    <t>VISTEON CORPORATION</t>
  </si>
  <si>
    <t>Vitec Group</t>
  </si>
  <si>
    <t>VIDENDUM PLC</t>
  </si>
  <si>
    <t>VMWare</t>
  </si>
  <si>
    <t>VMWARE LLC</t>
  </si>
  <si>
    <t>Vodafone</t>
  </si>
  <si>
    <t>VODAFONE GROUP PLC</t>
  </si>
  <si>
    <t>Volkswagen</t>
  </si>
  <si>
    <t>VOLKSWAGEN AKTIENGESELLSCHAFT</t>
  </si>
  <si>
    <t>VTG</t>
  </si>
  <si>
    <t>VTG GMBH</t>
  </si>
  <si>
    <t>Wartsila</t>
  </si>
  <si>
    <t>WARTSILA OYJ</t>
  </si>
  <si>
    <t>Waters Corporation</t>
  </si>
  <si>
    <t>WATERS CORPORATION</t>
  </si>
  <si>
    <t>Weatherford International</t>
  </si>
  <si>
    <t>WEATHERFORD INTERNATIONAL LTD.</t>
  </si>
  <si>
    <t>Weir Group</t>
  </si>
  <si>
    <t>THE WEIR GROUP PLC</t>
  </si>
  <si>
    <t>Western Union</t>
  </si>
  <si>
    <t>THE WESTERN UNION COMPANY</t>
  </si>
  <si>
    <t>Westinghouse Air Brake Technologies Corp</t>
  </si>
  <si>
    <t>WESTINGHOUSE AIR BRAKE TECHNOLOGIES CORPORATION</t>
  </si>
  <si>
    <t>Wex Inc.</t>
  </si>
  <si>
    <t>WEX INC.</t>
  </si>
  <si>
    <t>Whirlpool</t>
  </si>
  <si>
    <t>WHIRLPOOL CORPORATION</t>
  </si>
  <si>
    <t>Willis Towers Watson</t>
  </si>
  <si>
    <t>WILLIS TOWERS WATSON PUBLIC LIMITED COMPANY</t>
  </si>
  <si>
    <t>Wise PLC</t>
  </si>
  <si>
    <t>WISE PLC</t>
  </si>
  <si>
    <t>WPP PLC</t>
  </si>
  <si>
    <t>WPP PLC (NEW)</t>
  </si>
  <si>
    <t>Wrangler (Kontoor)</t>
  </si>
  <si>
    <t>KONTOOR BRANDS, INC.</t>
  </si>
  <si>
    <t>WWE</t>
  </si>
  <si>
    <t>WORLD WRESTLING ENTERTAINMENT, LLC</t>
  </si>
  <si>
    <t>Xerox</t>
  </si>
  <si>
    <t>XEROX HOLDINGS CORPORATION</t>
  </si>
  <si>
    <t>YIT</t>
  </si>
  <si>
    <t>YIT OYJ</t>
  </si>
  <si>
    <t>Yum Brands</t>
  </si>
  <si>
    <t>YUM! BRANDS, INC.</t>
  </si>
  <si>
    <t>Zendesk</t>
  </si>
  <si>
    <t>ZENDESK, INC.</t>
  </si>
  <si>
    <t>Zimmer Biomet</t>
  </si>
  <si>
    <t>ZIMMER BIOMET HOLDINGS, INC.</t>
  </si>
  <si>
    <t>Zoetis</t>
  </si>
  <si>
    <t>ZOETIS INC.</t>
  </si>
  <si>
    <t>Zynga</t>
  </si>
  <si>
    <t>ZYNGA INC.</t>
  </si>
  <si>
    <t>Coesia Group</t>
  </si>
  <si>
    <t>Agrana</t>
  </si>
  <si>
    <t>Alumil</t>
  </si>
  <si>
    <t>Babolat</t>
  </si>
  <si>
    <t>Boggi</t>
  </si>
  <si>
    <t>Buzzi Unicem</t>
  </si>
  <si>
    <t>Calzedonia</t>
  </si>
  <si>
    <t>Clarins</t>
  </si>
  <si>
    <t>Coface</t>
  </si>
  <si>
    <t>Cremonini Group</t>
  </si>
  <si>
    <t>De Cecco</t>
  </si>
  <si>
    <t>Dessange International</t>
  </si>
  <si>
    <t>Diesel</t>
  </si>
  <si>
    <t>Dinex A/S</t>
  </si>
  <si>
    <t>Duol</t>
  </si>
  <si>
    <t>Egger</t>
  </si>
  <si>
    <t>ElvalHalcor</t>
  </si>
  <si>
    <t>Etam</t>
  </si>
  <si>
    <t>Fondital</t>
  </si>
  <si>
    <t>Foraco</t>
  </si>
  <si>
    <t>Frigoglass</t>
  </si>
  <si>
    <t>Geoplin</t>
  </si>
  <si>
    <t>Groupe Savencia</t>
  </si>
  <si>
    <t>Jean Cacharel</t>
  </si>
  <si>
    <t>Kleemann</t>
  </si>
  <si>
    <t>Kotanyi</t>
  </si>
  <si>
    <t>Krka</t>
  </si>
  <si>
    <t>La Redoute</t>
  </si>
  <si>
    <t>Lacoste</t>
  </si>
  <si>
    <t>LACTALIS</t>
  </si>
  <si>
    <t>LiSEC</t>
  </si>
  <si>
    <t>Luka Koper</t>
  </si>
  <si>
    <t>Maxam</t>
  </si>
  <si>
    <t>OCSiAl</t>
  </si>
  <si>
    <t>Orano</t>
  </si>
  <si>
    <t>Perfetti Van Melle</t>
  </si>
  <si>
    <t>Plastika Kritis</t>
  </si>
  <si>
    <t>Raba</t>
  </si>
  <si>
    <t>Riko</t>
  </si>
  <si>
    <t>Russia Fachspedition Dr. Lassmann</t>
  </si>
  <si>
    <t>Sanatmetal</t>
  </si>
  <si>
    <t>Schoeller Bleckmann</t>
  </si>
  <si>
    <t>Société Bic</t>
  </si>
  <si>
    <t>Soler &amp; Palau Ventilation Group</t>
  </si>
  <si>
    <t>Sucden</t>
  </si>
  <si>
    <t>Trelleborg Group</t>
  </si>
  <si>
    <t>Veolia</t>
  </si>
  <si>
    <t>Vinci SA</t>
  </si>
  <si>
    <t>Worldline</t>
  </si>
  <si>
    <t>Aalberts</t>
  </si>
  <si>
    <t>Accor</t>
  </si>
  <si>
    <t>Accumalux</t>
  </si>
  <si>
    <t>Airbus</t>
  </si>
  <si>
    <t>Akrapovič</t>
  </si>
  <si>
    <t>Andritz</t>
  </si>
  <si>
    <t>Anecoop</t>
  </si>
  <si>
    <t>Boiron</t>
  </si>
  <si>
    <t>Campari</t>
  </si>
  <si>
    <t>CANPACK</t>
  </si>
  <si>
    <t>Corticeira Amorim</t>
  </si>
  <si>
    <t>Deceuninck</t>
  </si>
  <si>
    <t>Delonghi</t>
  </si>
  <si>
    <t>Ecco</t>
  </si>
  <si>
    <t>Engie</t>
  </si>
  <si>
    <t>NGO</t>
  </si>
  <si>
    <t>Gedeon Richter</t>
  </si>
  <si>
    <t>Geox</t>
  </si>
  <si>
    <t>Giorgio Armani</t>
  </si>
  <si>
    <t>Groupe Seb</t>
  </si>
  <si>
    <t>Hellenic Petroleum</t>
  </si>
  <si>
    <t>HERZ</t>
  </si>
  <si>
    <t>ING Bank</t>
  </si>
  <si>
    <t>Intesa Sanpaolo</t>
  </si>
  <si>
    <t>Ipsen</t>
  </si>
  <si>
    <t>JDE Peet's</t>
  </si>
  <si>
    <t>Kubíček VHS</t>
  </si>
  <si>
    <t>Laboratoire Servier</t>
  </si>
  <si>
    <t>Loulis Mills</t>
  </si>
  <si>
    <t>Melamin</t>
  </si>
  <si>
    <t>Menarini Group</t>
  </si>
  <si>
    <t>Novo Nordisk</t>
  </si>
  <si>
    <t>OMV</t>
  </si>
  <si>
    <t>Palfinger</t>
  </si>
  <si>
    <t>Philips</t>
  </si>
  <si>
    <t>Polpharma</t>
  </si>
  <si>
    <t>Pottinger</t>
  </si>
  <si>
    <t>Red Bull</t>
  </si>
  <si>
    <t>RHI Magnesita</t>
  </si>
  <si>
    <t>Rockwool</t>
  </si>
  <si>
    <t>Saipem</t>
  </si>
  <si>
    <t>Sanofi</t>
  </si>
  <si>
    <t>Sarens</t>
  </si>
  <si>
    <t>Signify</t>
  </si>
  <si>
    <t>Soudal</t>
  </si>
  <si>
    <t>TMF Group</t>
  </si>
  <si>
    <t>Toshulin</t>
  </si>
  <si>
    <t>Total Energies</t>
  </si>
  <si>
    <t>TZMO</t>
  </si>
  <si>
    <t>Welltec</t>
  </si>
  <si>
    <t>Yves Rocher</t>
  </si>
  <si>
    <t>AkzoNobel</t>
  </si>
  <si>
    <t>Amadeus IT Group</t>
  </si>
  <si>
    <t>ArcelorMittal</t>
  </si>
  <si>
    <t>Atlas Copco</t>
  </si>
  <si>
    <t>Bank of Cyprus</t>
  </si>
  <si>
    <t>Bekaert</t>
  </si>
  <si>
    <t>Black Red White</t>
  </si>
  <si>
    <t>Bonduelle</t>
  </si>
  <si>
    <t>Bureau Veritas</t>
  </si>
  <si>
    <t>Cersanit</t>
  </si>
  <si>
    <t>CHR Hansen</t>
  </si>
  <si>
    <t>Coloplast</t>
  </si>
  <si>
    <t>ESAB</t>
  </si>
  <si>
    <t>Eutelsat</t>
  </si>
  <si>
    <t>Fischer Sports</t>
  </si>
  <si>
    <t>Geodis</t>
  </si>
  <si>
    <t>Groupe BPCE</t>
  </si>
  <si>
    <t>Hellenic Bottling Company</t>
  </si>
  <si>
    <t>Indesit</t>
  </si>
  <si>
    <t>Ingka</t>
  </si>
  <si>
    <t>Intertrust</t>
  </si>
  <si>
    <t>J&amp;T Finance Group</t>
  </si>
  <si>
    <t>Keywords Studios</t>
  </si>
  <si>
    <t>Lotos</t>
  </si>
  <si>
    <t>Luxottica</t>
  </si>
  <si>
    <t>Miro</t>
  </si>
  <si>
    <t>OTP Bank</t>
  </si>
  <si>
    <t>Paul Wurth</t>
  </si>
  <si>
    <t>Pirelli</t>
  </si>
  <si>
    <t>PKN Orlen SA</t>
  </si>
  <si>
    <t>Rosenbauer</t>
  </si>
  <si>
    <t>Royal DSM</t>
  </si>
  <si>
    <t>Saint-Gobain</t>
  </si>
  <si>
    <t>SHV</t>
  </si>
  <si>
    <t>Skoda</t>
  </si>
  <si>
    <t>TKH Security</t>
  </si>
  <si>
    <t>Triglav Group</t>
  </si>
  <si>
    <t>Tungsram</t>
  </si>
  <si>
    <t>Valentino</t>
  </si>
  <si>
    <t>Wolters Kluwer</t>
  </si>
  <si>
    <t>Acne Studios</t>
  </si>
  <si>
    <t>Adamed</t>
  </si>
  <si>
    <t>Air France</t>
  </si>
  <si>
    <t>Air Malta</t>
  </si>
  <si>
    <t>Alstom</t>
  </si>
  <si>
    <t>Amica</t>
  </si>
  <si>
    <t>Austrian Airlines</t>
  </si>
  <si>
    <t>Avast</t>
  </si>
  <si>
    <t>AXA</t>
  </si>
  <si>
    <t>AXA Investments Managers</t>
  </si>
  <si>
    <t>B Lab</t>
  </si>
  <si>
    <t>Bang &amp; Olufsen</t>
  </si>
  <si>
    <t>Bitdefender</t>
  </si>
  <si>
    <t>BNP Paribas</t>
  </si>
  <si>
    <t>Boryszew</t>
  </si>
  <si>
    <t>Bulgaria Air</t>
  </si>
  <si>
    <t>Capgemini</t>
  </si>
  <si>
    <t>Ceratizit</t>
  </si>
  <si>
    <t>Cie Automotives</t>
  </si>
  <si>
    <t>Credit Agricole</t>
  </si>
  <si>
    <t>Criteo</t>
  </si>
  <si>
    <t>Cyprus Airways</t>
  </si>
  <si>
    <t>Danone</t>
  </si>
  <si>
    <t>Danske Bank</t>
  </si>
  <si>
    <t>Dassault Aviation</t>
  </si>
  <si>
    <t>Dassault Systèmes</t>
  </si>
  <si>
    <t>Decathlon</t>
  </si>
  <si>
    <t>Demant</t>
  </si>
  <si>
    <t>Diadora</t>
  </si>
  <si>
    <t>DSV A/S</t>
  </si>
  <si>
    <t>eDreams ODIGEO</t>
  </si>
  <si>
    <t>Elsevier</t>
  </si>
  <si>
    <t>Epiroc</t>
  </si>
  <si>
    <t>Ericsson</t>
  </si>
  <si>
    <t>ESET</t>
  </si>
  <si>
    <t>Etex</t>
  </si>
  <si>
    <t>Eurasian Resources Group</t>
  </si>
  <si>
    <t>Exor</t>
  </si>
  <si>
    <t>Famur</t>
  </si>
  <si>
    <t>Ferragamo</t>
  </si>
  <si>
    <t>Ferrari</t>
  </si>
  <si>
    <t>Fluidra</t>
  </si>
  <si>
    <t>Ganni</t>
  </si>
  <si>
    <t>Gestamp</t>
  </si>
  <si>
    <t>Graphisoft</t>
  </si>
  <si>
    <t>Grupa Azoty</t>
  </si>
  <si>
    <t>Grupo Antolín</t>
  </si>
  <si>
    <t>Hermes</t>
  </si>
  <si>
    <t>Hexagon</t>
  </si>
  <si>
    <t>Hunkemoller</t>
  </si>
  <si>
    <t>Husqvarna</t>
  </si>
  <si>
    <t>Iberia</t>
  </si>
  <si>
    <t>Icecat</t>
  </si>
  <si>
    <t>Intercomm Foods</t>
  </si>
  <si>
    <t>Jablotron</t>
  </si>
  <si>
    <t>Johnson Controls</t>
  </si>
  <si>
    <t>KBC Group</t>
  </si>
  <si>
    <t>Kering</t>
  </si>
  <si>
    <t>Kerry Group</t>
  </si>
  <si>
    <t>KGHM</t>
  </si>
  <si>
    <t>KLM</t>
  </si>
  <si>
    <t>Kronospan</t>
  </si>
  <si>
    <t>Kurokesu</t>
  </si>
  <si>
    <t>L'Oreal</t>
  </si>
  <si>
    <t>La Lorraine</t>
  </si>
  <si>
    <t>Lego</t>
  </si>
  <si>
    <t>Leonardo</t>
  </si>
  <si>
    <t>Lladró</t>
  </si>
  <si>
    <t>Louis Dreyfus</t>
  </si>
  <si>
    <t>Magna Steyr</t>
  </si>
  <si>
    <t>Mango</t>
  </si>
  <si>
    <t>Milk Hydrosan sp. z o.o.</t>
  </si>
  <si>
    <t>Mobatime (Elekon)</t>
  </si>
  <si>
    <t>Moncler</t>
  </si>
  <si>
    <t>MV Group</t>
  </si>
  <si>
    <t>MVRDV</t>
  </si>
  <si>
    <t>NHL</t>
  </si>
  <si>
    <t>Nozbe</t>
  </si>
  <si>
    <t>NXP Semiconductors</t>
  </si>
  <si>
    <t>Pekao SA</t>
  </si>
  <si>
    <t>Pernod Ricard</t>
  </si>
  <si>
    <t>Plzeňský Prazdroj</t>
  </si>
  <si>
    <t>Podravka</t>
  </si>
  <si>
    <t>Prada</t>
  </si>
  <si>
    <t>Prosus</t>
  </si>
  <si>
    <t>Qlik</t>
  </si>
  <si>
    <t>Rabobank</t>
  </si>
  <si>
    <t>Radio Free Europe</t>
  </si>
  <si>
    <t>Rakovnický Pivovar</t>
  </si>
  <si>
    <t>Roca</t>
  </si>
  <si>
    <t>Royal Society of Chemistry</t>
  </si>
  <si>
    <t>Safran</t>
  </si>
  <si>
    <t>Samsonite International</t>
  </si>
  <si>
    <t>Sandvik</t>
  </si>
  <si>
    <t>Sardina</t>
  </si>
  <si>
    <t>Scandinavian Tobacco</t>
  </si>
  <si>
    <t>Scania</t>
  </si>
  <si>
    <t>Sigma Group</t>
  </si>
  <si>
    <t>Skytrax</t>
  </si>
  <si>
    <t>Sodeca</t>
  </si>
  <si>
    <t>Solvay</t>
  </si>
  <si>
    <t>Spotify</t>
  </si>
  <si>
    <t>SSAB</t>
  </si>
  <si>
    <t>Stellantis</t>
  </si>
  <si>
    <t>Storytel</t>
  </si>
  <si>
    <t>Sweco</t>
  </si>
  <si>
    <t>Systemair</t>
  </si>
  <si>
    <t>T Machinery</t>
  </si>
  <si>
    <t>Talgo</t>
  </si>
  <si>
    <t>Tanin</t>
  </si>
  <si>
    <t>Tendam</t>
  </si>
  <si>
    <t>The Navigator Company</t>
  </si>
  <si>
    <t>TomTom</t>
  </si>
  <si>
    <t>Torm</t>
  </si>
  <si>
    <t>Tous</t>
  </si>
  <si>
    <t>TTC Holding</t>
  </si>
  <si>
    <t>Ubisoft</t>
  </si>
  <si>
    <t>Universal Music Group</t>
  </si>
  <si>
    <t>Vattenfall</t>
  </si>
  <si>
    <t>Volvo Cars</t>
  </si>
  <si>
    <t>Volvo Group</t>
  </si>
  <si>
    <t>Wielton</t>
  </si>
  <si>
    <t>Wimbledon</t>
  </si>
  <si>
    <t>Wizz Air</t>
  </si>
  <si>
    <t>World Federation of Exchanges</t>
  </si>
  <si>
    <t>Woseba</t>
  </si>
  <si>
    <t>YOOX</t>
  </si>
  <si>
    <t>Żabka</t>
  </si>
  <si>
    <t>AAK</t>
  </si>
  <si>
    <t>Aarsleff</t>
  </si>
  <si>
    <t>Accenture</t>
  </si>
  <si>
    <t>Acerinox</t>
  </si>
  <si>
    <t>Aegon</t>
  </si>
  <si>
    <t>AFRY</t>
  </si>
  <si>
    <t>Agrokoncernas</t>
  </si>
  <si>
    <t>Air Liquide</t>
  </si>
  <si>
    <t>AirBaltic</t>
  </si>
  <si>
    <t>Allegro</t>
  </si>
  <si>
    <t>AmRest</t>
  </si>
  <si>
    <t>AP7</t>
  </si>
  <si>
    <t>APG</t>
  </si>
  <si>
    <t>Arendt &amp; Medernach</t>
  </si>
  <si>
    <t>Assicurazioni Generali</t>
  </si>
  <si>
    <t>Atos</t>
  </si>
  <si>
    <t>Autogrill</t>
  </si>
  <si>
    <t>AVL</t>
  </si>
  <si>
    <t>Bakoma</t>
  </si>
  <si>
    <t>BaseTrack</t>
  </si>
  <si>
    <t>Bestseller</t>
  </si>
  <si>
    <t>BioMar</t>
  </si>
  <si>
    <t>Blockchain.com</t>
  </si>
  <si>
    <t>Bolt</t>
  </si>
  <si>
    <t>Bonava</t>
  </si>
  <si>
    <t>Boskalis</t>
  </si>
  <si>
    <t>CD Projekt</t>
  </si>
  <si>
    <t>CFA Institute</t>
  </si>
  <si>
    <t>Chanel</t>
  </si>
  <si>
    <t>CMA CGM</t>
  </si>
  <si>
    <t>Columbus</t>
  </si>
  <si>
    <t>Comarch</t>
  </si>
  <si>
    <t>CRH</t>
  </si>
  <si>
    <t>Cyfrowy Polsat</t>
  </si>
  <si>
    <t>Danfoss</t>
  </si>
  <si>
    <t>Deezer</t>
  </si>
  <si>
    <t>Dino Polska</t>
  </si>
  <si>
    <t>DP Eurasia</t>
  </si>
  <si>
    <t>Elisa Esports</t>
  </si>
  <si>
    <t>Enel</t>
  </si>
  <si>
    <t>Eni</t>
  </si>
  <si>
    <t>Espersen</t>
  </si>
  <si>
    <t>Essity</t>
  </si>
  <si>
    <t>Eurovision</t>
  </si>
  <si>
    <t>FL Smidth</t>
  </si>
  <si>
    <t>Fugro</t>
  </si>
  <si>
    <t>Galp</t>
  </si>
  <si>
    <t>Game Insight</t>
  </si>
  <si>
    <t>Gameloft</t>
  </si>
  <si>
    <t>Gaz-System</t>
  </si>
  <si>
    <t>Global Fashion Group</t>
  </si>
  <si>
    <t>Goodvalley</t>
  </si>
  <si>
    <t>Grundfos</t>
  </si>
  <si>
    <t>Heineken</t>
  </si>
  <si>
    <t>Hempel</t>
  </si>
  <si>
    <t>Home Credit</t>
  </si>
  <si>
    <t>Hortex</t>
  </si>
  <si>
    <t>Hostinger</t>
  </si>
  <si>
    <t>Houthoff</t>
  </si>
  <si>
    <t>Icosagen</t>
  </si>
  <si>
    <t>ID Logistics</t>
  </si>
  <si>
    <t>Ikea</t>
  </si>
  <si>
    <t>IMCD</t>
  </si>
  <si>
    <t>Incoff Aerospace</t>
  </si>
  <si>
    <t>Inditex</t>
  </si>
  <si>
    <t>InPost</t>
  </si>
  <si>
    <t>International Biathlon Union</t>
  </si>
  <si>
    <t>Intracom Telecom</t>
  </si>
  <si>
    <t>ISS</t>
  </si>
  <si>
    <t>Iveco</t>
  </si>
  <si>
    <t>Jan de Nul</t>
  </si>
  <si>
    <t>JYSK</t>
  </si>
  <si>
    <t>Kalnapilis-Taurus</t>
  </si>
  <si>
    <t>Kamstrup</t>
  </si>
  <si>
    <t>Kingspan</t>
  </si>
  <si>
    <t>Legrand</t>
  </si>
  <si>
    <t>Leptos Estates</t>
  </si>
  <si>
    <t>Lindab</t>
  </si>
  <si>
    <t>LVMH</t>
  </si>
  <si>
    <t>LyondellBasell</t>
  </si>
  <si>
    <t>Maersk</t>
  </si>
  <si>
    <t>Makrochem SA</t>
  </si>
  <si>
    <t>Mannheimer Swartling</t>
  </si>
  <si>
    <t>Maxima</t>
  </si>
  <si>
    <t>MSU S.A.</t>
  </si>
  <si>
    <t>NCAB Group AB</t>
  </si>
  <si>
    <t>Orlen Lietuva</t>
  </si>
  <si>
    <t>Orsted</t>
  </si>
  <si>
    <t>Pandora</t>
  </si>
  <si>
    <t>Paysera</t>
  </si>
  <si>
    <t>Pensioenfonds Detailhandel</t>
  </si>
  <si>
    <t>PFZW</t>
  </si>
  <si>
    <t>PKO BP</t>
  </si>
  <si>
    <t>PME pensioenfonds</t>
  </si>
  <si>
    <t>Polskie Górnictwo Naftowe i Gazownictwo SA</t>
  </si>
  <si>
    <t>Prio</t>
  </si>
  <si>
    <t>Publicis Groupe</t>
  </si>
  <si>
    <t>PZU SA</t>
  </si>
  <si>
    <t>Renault</t>
  </si>
  <si>
    <t>Repsol</t>
  </si>
  <si>
    <t>Rimi</t>
  </si>
  <si>
    <t>Schneider Electric</t>
  </si>
  <si>
    <t>SKF</t>
  </si>
  <si>
    <t>SMAY</t>
  </si>
  <si>
    <t>Smurfit Kappa</t>
  </si>
  <si>
    <t>Societe Generale</t>
  </si>
  <si>
    <t>Sodexo</t>
  </si>
  <si>
    <t>Strabag</t>
  </si>
  <si>
    <t>Svenska Handelsbanken</t>
  </si>
  <si>
    <t>Systembolaget</t>
  </si>
  <si>
    <t>TDZ Turn</t>
  </si>
  <si>
    <t>Technip Energies</t>
  </si>
  <si>
    <t>Teknotherm Marine HVAC sp. z o.o.</t>
  </si>
  <si>
    <t>Teleperformance</t>
  </si>
  <si>
    <t>Tetra Pak</t>
  </si>
  <si>
    <t>Trane Technologies</t>
  </si>
  <si>
    <t>Valeo</t>
  </si>
  <si>
    <t>Van Oord</t>
  </si>
  <si>
    <t>Velux</t>
  </si>
  <si>
    <t>Veon</t>
  </si>
  <si>
    <t>Vestas</t>
  </si>
  <si>
    <t>Volfas Engelman</t>
  </si>
  <si>
    <t>Wienerberger</t>
  </si>
  <si>
    <t>Women's Tennis Association</t>
  </si>
  <si>
    <t>World Boxing Organization</t>
  </si>
  <si>
    <t>Low Sanction Risk /Exempt</t>
  </si>
  <si>
    <t>Medium Sanctions Risk / Partially Restricted</t>
  </si>
  <si>
    <t>High Sanctions Risk / Embargoed</t>
  </si>
  <si>
    <t>The sector faces targeted restrictions, meaning operations are legally possible but significantly hindered. This includes 
bans on specific sub-products (e.g., luxury goods thresholds), severe supply chain disruptions, or high reputational 
and compliance costs.</t>
  </si>
  <si>
    <t>The sector is fundamentally targeted by sweeping sanctions, export controls, or investment bans. 
Operating legally in this sector is practically impossible or strictly forbidden for Western firms.</t>
  </si>
  <si>
    <t>Sanction Package</t>
  </si>
  <si>
    <t>Energy Score</t>
  </si>
  <si>
    <t>Energy Notes</t>
  </si>
  <si>
    <t>Financials Score</t>
  </si>
  <si>
    <t>Financials Notes</t>
  </si>
  <si>
    <t>Industrials Score</t>
  </si>
  <si>
    <t>Industrials Notes</t>
  </si>
  <si>
    <t>Materials Score</t>
  </si>
  <si>
    <t>Materials Notes</t>
  </si>
  <si>
    <t>Information Technology Score</t>
  </si>
  <si>
    <t>Information Technology Notes</t>
  </si>
  <si>
    <t>Consumer Discretionary Score</t>
  </si>
  <si>
    <t>Consumer Discretionary Notes</t>
  </si>
  <si>
    <t>Consumer Staples Score</t>
  </si>
  <si>
    <t>Consumer Staples Notes</t>
  </si>
  <si>
    <t>Health Care Score</t>
  </si>
  <si>
    <t>Health Care Notes</t>
  </si>
  <si>
    <t>Communication Services Score</t>
  </si>
  <si>
    <t>Communication Services Notes</t>
  </si>
  <si>
    <t>Utilities Score</t>
  </si>
  <si>
    <t>Utilities Notes</t>
  </si>
  <si>
    <t>Real Estate Score</t>
  </si>
  <si>
    <t>Real Estate Notes</t>
  </si>
  <si>
    <t>1st Package (23.02.2022)</t>
  </si>
  <si>
    <t>2nd Package (25.02.2022)</t>
  </si>
  <si>
    <t>3rd Package (28.02-02.03.2022)</t>
  </si>
  <si>
    <t>Sectorial Sanctions (09.03.2022)</t>
  </si>
  <si>
    <t>4th Package (15.03.2022)</t>
  </si>
  <si>
    <t>5th Package (08.04.2022)</t>
  </si>
  <si>
    <t>6th Package (03.06.2022)</t>
  </si>
  <si>
    <t>7th Package (21.06.2022)</t>
  </si>
  <si>
    <t>8th Package (06.10.2022)</t>
  </si>
  <si>
    <t>9th Package (16.12.2022)</t>
  </si>
  <si>
    <t>10th Package (25.02.2023)</t>
  </si>
  <si>
    <t>11th Package (23.06.2023)</t>
  </si>
  <si>
    <t>12th Package (18.12.2023)</t>
  </si>
  <si>
    <t>13th Package (23.02.2024)</t>
  </si>
  <si>
    <t>14th Package (24.06.2024)</t>
  </si>
  <si>
    <t>15th Package (enforcement only)</t>
  </si>
  <si>
    <t>16th Package (24.02.2025)</t>
  </si>
  <si>
    <t>17th Package (enforcement only)</t>
  </si>
  <si>
    <t>18th Package (18.07.2025)</t>
  </si>
  <si>
    <t>19th Package (23.10.2025)</t>
  </si>
  <si>
    <t>No Comments on Energy</t>
  </si>
  <si>
    <t>Prohibition of the sale, supply, transfer or export to Russia of specific goods and technologies in oil refining</t>
  </si>
  <si>
    <t>A prohibition on new investments, no new equity participations, loans, joint ventures, or investment services in any entity operating in Russia's energy sector.
A comprehensive export ban on equipment, technology, and services for the energy industry in Russia, including exploration, production, distribution and mining of crude oil, natural gas, and solid fossil fuels; refining; liquefaction/regasification of natural gas; manufacture or distribution of solid fossil fuel products and refined petroleum products; and construction/installation for power generation or electricity production.
Civil nuclear activities and downstream energy transport are explicitly exempted.
Derogations exist to ensure critical energy supply to the EU and for transport of fossil fuels from or through Russia into the Union</t>
  </si>
  <si>
    <t>Import of coal, lignite, peat, coke, coal gas, coal tar and related products from Russia is fully prohibited (with a wind-down period until 10 August 2022).
Export of equipment and technology for oil refining (distillation units, hydrocracking reactors, catalytic reformers, cokers, etc.) and LNG liquefaction units to Russia is prohibited
Export of jet fuel and all related fuel additives (oxidation inhibitors, anti-icing agents, corrosion inhibitors, biocides, etc.) to Russia is prohibited.</t>
  </si>
  <si>
    <t xml:space="preserve">Import of crude oil (CN 2709 00) and all petroleum products (CN 2710 — refined oils, preparations with ≥70% petroleum content, waste oils) originating in or exported from Russia is now prohibited. This is the EU oil embargo.
Provision of technical assistance, brokering, financing or financial assistance related to the transport (including ship-to-ship transfers) of Russian crude oil or petroleum products to third countries is prohibited, effective from 5 February 2023 for new contracts.
References to the existing energy transport exemptions (Art. 3, 3a, 3ea, 3l, 5aa, 5k) are all amended to carve out the new oil embargo articles (3m, 3n), ensuring no exemption bypasses the new crude oil/petroleum ban
</t>
  </si>
  <si>
    <t>Oil Price Cap: maritime transport of Russian crude oil (CN 2709) and petroleum products (CN 2710) to third countries prohibited as of 5 Dec 2022 / 5 Feb 2023 respectively, unless purchased at or below a price cap set by the Price Cap Coalition (Annex XXVIII). Operators must attest compliance.
Vessels that transport Russian oil above the price cap are subsequently barred from receiving any maritime services (insurance, financing, brokering) for all future oil transport</t>
  </si>
  <si>
    <t>Investment Ban: On the Russian energy sector extended and consolidated (Art. 3a §1), no new equity stakes, loans, joint ventures or related investment services in any entity operating in Russia's energy sector
Bulgaria prohibited from re-selling Russian pipeline crude-derived petroleum products to other EU Member States or third countries from 5 Feb 2023; new restriction, not a prolongation.</t>
  </si>
  <si>
    <t>As storage capacity in EU facilities prohibited to Russian nationals, Russia-resident persons and Russia-incorporated entities - closes weaponisation risk of Russian-controlled storage in the EU; LNG storage facilities explicitly excluded from ban
New import prohibitions on petroleum coke, petroleum bitumen, bitumen, asphalt, bituminous mastics and petroleum waxes, residues and by-products of Russian refining not previously covered</t>
  </si>
  <si>
    <t>Pipeline crude oil derogation for Germany and Poland terminated, both countries must now source alternative supply; no longer exempt from crude oil import prohibition (Art. 3m §3a, effective 23 June 2023)
New port access prohibitions for vessels conducting ship-to-ship transfers of Russian oil (new Art. 3eb), suspected sanction-evading STS transfers or failure to provide 48-hour pre-notification triggers EU port/lock ban; applies to all flag vessels
Port access ban for vessels that have disabled their AIS (automatic identification system) while transporting Russian oil (new Art. 3ec), targets "dark fleet" tanker behavior</t>
  </si>
  <si>
    <t xml:space="preserve">Tanker sale ban: EU nationals, EU residents and EU-established entities prohibited from selling oil tankers (HS 8901 20) to Russian persons or for use in Russia; any sale to any third country must be notified to competent authorities; retroactive notification required for sales since 5 December 2022
Oil price cap: itemized cost transparency service providers without access to the purchase price must collect and share itemized ancillary cost information (insurance, freight) from counterparties up the supply chain for Russian crude loaded from 20 February 2024; strengthens price cap attestation
</t>
  </si>
  <si>
    <t xml:space="preserve">LNG transshipment ban: EU ports prohibited from providing reloading services for Russian LNG transshipment to third countries (ship-to-ship and ship-to-shore); ancillary services also banned. Closes the major loophole where EU terminals in Belgium, France and Spain were acting as re-export hubs for Russian LNG to Asia. Wind-down to 26 March 2025 for pre-existing contracts
LNG project completion ban: sale, supply or export of goods, technology and services for completion of new Russian LNG projects (specifically Arctic LNG 2, Murmansk LNG) prohibited; does not affect purchase/import of LNG from existing terminals
LNG import via non-interconnected terminals banned: import of Russian LNG through EU LNG terminals not connected to the national gas grid prohibited from 26 July 2024; targeted at specific isolated facilities in certain Member States
Helium import ban: import of Russian helium (CN 280421) added to restricted goods (Annex XXI); transition to 26 September 2024 for existing contracts
LNG investment ban extended (Art. 3a §1a), investment prohibition in Russian energy sector explicitly covers LNG projects under construction, not just operating assets.
</t>
  </si>
  <si>
    <t>Russian oil temporary storage ban: temporary storage and free zone placement of Russian crude oil and petroleum products in EU territory prohibited from 25 February 2025; closes a loophole allowing Russian oil to be held in EU ports/free zones without being "imported". Transition until 26 May 2025 for oil already present
Crude oil project completion ban: existing LNG project completion ban extended to cover crude oil exploration and production projects in Russia (e.g. Vostok Oil); does not affect already-producing fields or existing Russian pipeline crude imports by landlocked Member States
Oil &amp; gas exploration software,software listed in Annex II to Reg. 833/2014 now explicitly prohibited for export to Russia; specifically targets oil and gas exploration software, further restricting Russia's upstream capacity.
Materials:</t>
  </si>
  <si>
    <t>New ban on importing into the EU petroleum products (CN 2710) refined in third countries from Russian crude oil, effective 21 Jan 2026. Importers must prove origin of crude used. Exemption for imports from Canada, Norway, UK, USA, Switzerland.
Oil price cap mechanism overhauled: USD 47.6 per barrel and automatic procedure sets cap at average Russian crude market price minus 15%, reviewed every 6 months. Prior cap was static
105 additional "shadow fleet" vessels added to port ban list (Annex XVI) for transporting Russian crude/petroleum products using irregular shipping practices or supporting Russian energy sector.
Czechia pipeline crude oil import derogation ends 1 July 2025; now subject to standard prohibition.
New transaction ban on all activities connected to Nord Stream and Nord Stream 2 pipelines: completion, operation, maintenance, use, and financing. Purchase of gas transported via either pipeline also prohibited.</t>
  </si>
  <si>
    <t>It shall be prohibited to directly or indirectly purchase, sell, provide investment services for or assistance in the issuance of, or otherwise deal with transferable securities and money-market instruments issued after 9 March 2022 by Russia and its government, the Central Bank of Russia, or a legal person, entity or body acting on behalf or at the direction of the Central Bank
It shall be prohibited to directly or indirectly make or be part of any arrangement to make any new loans or credit to the above entities after 23 February 2022. This prohibition shall not apply to loans or credit with a specific and documented objective to provide financing for non-prohibited imports or exports of goods and non-financial services between the Union and any third State</t>
  </si>
  <si>
    <t>Further expansion of existing financial restrictions, cutting Russian access to the most important capital markets and the prohibition of the listing and provision of services in relation to shares of Russian state-owned entities on EU trading venues
Prohibition of the acceptance of deposits exceeding certain values from Russian nationals or residents and prohibition of the holding of accounts of Russian clients by EU Central Securities Depositories
Prohibition of the selling of euro-denominated securities to Russian clients
These sanctions will target 70% of the Russian banking market, and key state-owned companies, including in the field of defense</t>
  </si>
  <si>
    <t xml:space="preserve">All transactions related to the management of reserves and assets of the Central Bank of Russia are prohibited, including transactions with any legal person acting on behalf of or at the direction of the Central Bank of Russia. A derogation is possible only if strictly necessary to ensure the financial stability of the EU as a whole or of a Member State
Bank Otkritie, Novikombank, Promsvyazbank, Rossiya Bank, Sovcombank, VNESHECONOMBANK (VEB), and VTB BANK banned from SWIFT system 
Prohibition to invest, participate or otherwise contribute to future projects co-financed by the Russian Direct Investment Fund.
Prohibition sell, supply, transfer or export euro denominated banknotes to Russia or to any natural or legal person, entity or body in Russia, including the government and the Central Bank of Russia, or for use in Russia.
</t>
  </si>
  <si>
    <t>The existing prohibition on transactions with the Central Bank of Russia is extended to the Russian National Wealth Fund as an example of an entity acting on behalf of or at the direction of the Central Bank. The definition of "transferable securities" is also extended to explicitly include crypto-assets, closing a potential circumvention route via digital assets in capital market transactions.</t>
  </si>
  <si>
    <t>No Comments on Financials</t>
  </si>
  <si>
    <t>Prohibition on accepting deposits from Russian nationals or Russian-established entities where the total exceeds €100,000 per credit institution.
Prohibition on selling EU-currency-denominated transferable securities (issued after 12 April 2022) or collective investment units to Russian nationals or entities.
Prohibition on exporting banknotes denominated in any EU Member State currency to Russia or Russian persons/entities.
Prohibition on providing crypto-asset wallet, account or custody services to Russian nationals/entities where total value exceeds €10,000
Prohibition on providing registered office, business address, management services, or acting as trustee/nominee director/secretary for trusts or similar arrangements benefiting Russian nationals or Russian-controlled entities.
Prohibition on providing any direct or indirect support - including financing, financial assistance, or any other benefit - under EU, Euratom or Member State programmes to Russian state-owned or state-controlled entities.</t>
  </si>
  <si>
    <t>3 additional Russian credit institutions are added to the list of banks excluded from specialised financial messaging services (SWIFT): Sberbank (effective 14 June 2022), Credit Bank of Moscow (14 June 2022), and Rosselkhozbank / JSC Russian Agricultural Bank (14 June 2022
The prohibition on providing financing or financial assistance for maritime transport of Russian crude oil and petroleum products to third countries encompasses insurance and reinsurance of those shipments, directly affecting the marine insurance market.
The exemption framework for the deposit and crypto-asset prohibition is clarified, adding an explicit exemption for fees related to routine holding or maintenance of frozen funds</t>
  </si>
  <si>
    <t>EU nationals prohibited from holding posts on governing bodies of sanctioned Russian State-owned entities (Art. 5aa §1a), effective 22 October 2022; new entities added to Annex XIX Part B including Russian Maritime Register of Shipping</t>
  </si>
  <si>
    <t>Banks must report by 27 May 2023 all deposits &gt;EUR 100,000 held by third-country entities majority-owned by Russian nationals; annual updates required thereafter (Art. 5g)
Governing body ban universalized: EU nationals prohibited from board/supervisory posts in all Russian state-owned or state-controlled entities and subsidiaries from 16 Jan 2023; previously limited to named entities only.
Securities admission to trading on EU venues banned for Russia-majority-state-owned entities from 29 Jan 2023, previously only listing services were banned.
Russian Regional Development Bank added to transaction ban (Annex XIX Part C</t>
  </si>
  <si>
    <t xml:space="preserve">Transferable securities ban extended to instruments denominated in any currency (not just EU member state currencies) issued after 6 August 2023 (Art. 5f §1), closes the foreign-currency denomination loophole.
</t>
  </si>
  <si>
    <t xml:space="preserve">Crypto-asset governance ban: Russian nationals and Russia-residents banned from owning, controlling or holding posts in governing bodies of EU-incorporated entities providing crypto-asset wallet, account or custody services, from 18 January 2024
</t>
  </si>
  <si>
    <t>SPFS connection ban: EU entities operating outside Russia banned from directly connecting to Russia's SPFS financial messaging system (the Russian SWIFT alternative); transaction ban on entities outside Russia listed in new Annex XLIV for using SPFS to enable circumvention.
Third-country bank/crypto transaction ban: EU operators banned from transacting with non-EU credit/financial institutions and crypto-asset providers that facilitate export of sanctioned goods to Russia; listed in Annex XLV.
Russian court abuse transaction ban: transaction ban on Russian entities that exploit Article 248 of Russia's Arbitration Procedure Code to file claims in Russian courts against EU companies to extract compensation from them
EU/Euratom/Member State programme support ban extended to legal persons majority-owned by Russian entities, previously only direct Russia-established entities; now covers Russian-controlled subsidiaries.</t>
  </si>
  <si>
    <t>SPFS/financial messaging ban expanded: transaction ban on non-EU financial institutions and crypto providers extended to three new categories: (A) facilitating exports of sanctioned goods to Russia, (B) frustrating the shadow fleet vessel ban, (C) circumventing the oil price cap; listed in new three-part Annex XIX.
Transaction ban on entities listed in new Annex XVIII extended with specific derogations for export credit guarantee repayments and wind-down of covered contracts until 26 August 2025.</t>
  </si>
  <si>
    <t>22 additional Russian banks added to transaction ban (Annex VIII), incl. T-bank, Bank Saint Petersburg, Yandex Bank, Ozon Bank, Surgutneftegazbank, effective 9 Aug 2025. Two Chinese banks (Heihe Rural Commercial Bank; Heilongjiang Suifenhe Rural Commercial Bank) added to Annex XIX for frustrating EU prohibitions.
Transaction ban on Russian Direct Investment Fund (RDIF), its subsidiaries, and entities with significant RDIF investments — covering finance, transport, telecoms, defence, manufacturing, advanced tech, energy. Four specific RDIF-linked entities added (VizorLabs, Kama (Atom), BitRiver, LABADVANCE).
Transaction ban extended to third-country crypto asset service providers and non-financial entities (incl. oil traders) that frustrate the purpose of EU prohibitions or support Russia's war effort</t>
  </si>
  <si>
    <t>5 Russian/Russian-linked financial institutions added to transaction ban list (Annex VIII): NPO Istina JSC, Zemsky Bank, Absolut Bank, MTS Bank, Alfa-Bank (from 12 Nov 2025).
4 additional banks added to Annex XVIII (SPFS/messaging ban): CJSC Alfa-Bank (Belarus), Sber Bank (Belarus), VTB Bank (Belarus), VTB Bank (Kazakhstan).#
Transaction ban on SPFS extended to cover Mir payment system and Fast Payments System (SBP), from 25 January 2026.
Transaction ban extended to third-country entities providing crypto-asset and payment services to listed entities; covers mirror/successor entities meeting defined criteria.
6 entities added to Annex XIX: Payeer, CJSB Tolubay, OJSC Eurasian Savings Bank, CJSC Dushanbe City Bank, CJSC Spitamen Bank, OJSC Commerzbank of Tajikistan; plus Blackford Corp and Fuel and Oil Dynamics FZE.
Ban on providing crypto-asset services (MiCA), payment instrument issuance, acquiring/initiation services, and e-money issuance to Russian nationals, residents, or entities.
Ban on transactions involving crypto-asset "A7A5" listed in new Annex XXVI, from 25 November 2025.
Prior authorisation required for any service (not already prohibited) provided to the Government of Russia.</t>
  </si>
  <si>
    <t>Check</t>
  </si>
  <si>
    <t xml:space="preserve">Further restrictions on exports of dual-use goods and technology.
Restrictions on exports of certain goods and technology which might contribute to Russia's technological enhancement of its defense and security sector, including semiconductors or cutting-edge technologies
</t>
  </si>
  <si>
    <t>Russian air carriers, Russian-registered aircraft, and non-Russian-
registered aircraft owned, chartered, or otherwise controlled by any
 Russian natural or legal person are prohibited from landing in
, taking off from, or overflying EU territory. Code-sharing and 
blocked-space arrangements with Russian air carriers are equally 
covered by the prohibition. Emergency landings/overflights are 
exempted, and competent authorities may grant derogations for 
humanitarian or consistent purposes</t>
  </si>
  <si>
    <t xml:space="preserve">The sale, supply, transfer, or export of maritime navigation goods and technology to any person or entity in Russia, for use in Russia, or for placement on board a Russian-flagged vessel is prohibited. Additionally, providing technical assistance, brokering services, financing, or financial assistance related to these goods is also prohibited. Exemptions exist for humanitarian purposes, health emergencies, natural disasters, and, subject to competent authority authorization, maritime safety purposes.
</t>
  </si>
  <si>
    <t>Entities directly involved in arms manufacturing are listed and subject to asset freezes and transaction prohibitions
Authorization for export of dual-use goods and technology must be denied if intended for the aviation or space industry</t>
  </si>
  <si>
    <t>A large number of Russian defence-industrial entities are added to the list of entities subject to the strictest export restrictions on dual-use goods and military-enhancement technology.
Export controls on continuous flow reactors, nucleic acid assemblers, and peptide synthesizers (see also Materials above) restrict supply of industrial chemistry and life-sciences processing equipment to Russia.
New prohibition on providing brokering, technical assistance, financing or financial assistance for the transport (including ship-to-ship transfers) of Russian oil to third countries, directly targeting the maritime shipping and logistics industry servicing Russian oil exports.
It is prohibited to advertise products or services in any content produced or broadcast by the Russian state media entities</t>
  </si>
  <si>
    <t xml:space="preserve">New puvlication explicitly covers UAVs, helicopters, autogyros and radio-controlled models. Closes the prior gap where airframes were banned but propulsion was not.
Gas turbine engines and aero gas turbine components (X.A.VII.002), plus piston and electric aircraft engines (X.A.VII.003 incl. UAVs) added to enhanced dual-use controls (Annex VII).
Generators, toy drones, laptops, hard drives, night-vision equipment, radio-navigation equipment and cameras/lenses added to industrial capacity export ban (Annex XXIII) — all new goods categories.
168 new Russian military-industrial entities added to enhanced dual-use export restrictions (Annex IV) — includes Kalashnikov, Almaz-Antey, Irkut Corporation, Kazan Helicopter Plant, Shipyard Zaliv and others.
Advertising services: sale/leasing of ad space, planning, creation and placement of advertising for Russian Government or Russia-based entities prohibited (Art. 5n §2a)
Market research &amp; public opinion polling provision to Russian Government or Russia-based entities prohibited
Technical testing &amp; inspection services: composition/purity testing, physical property analysis, integrated mechanical/electrical systems testing and technical inspection for Russian Government or Russia-based entities prohibited
</t>
  </si>
  <si>
    <t xml:space="preserve">Engines &amp; turbo-propellers: plus all their parts (CN 841191) added to aviation export ban; fills the gap between piston engines (9th package) and full propulsion systems for commercial/military aircraft
Transit via Russia prohibited: dual-use goods and technology exported from the EU may no longer transit through Russian territory (Art. 2 §1a); likewise firearms and ammunition (Art. 2aa §1a). Closes a major circumvention route
</t>
  </si>
  <si>
    <t>Firearms export ban expanded to include other types of arms beyond those covered by Regulation 258/2012 broader category of weapons now prohibited
Road transport ban extended to trailers and semi-trailers registered in Russia even when hauled by trucks registered in other countries closes loophole where Russian trailers were being hauled by non-Russian trucks to continue operating in the EU
87 new Russian and third-country military-industrial entities added to Annex IV, including multiple shipyards (United Shipbuilding Corporation subsidiaries), design bureaux and aerospace testing entities</t>
  </si>
  <si>
    <t>From 20 March 2024, exporters selling sensitive goods 
(Annexes XI, XX, XXXV, common high-priority items, firearms)
to any non-partner third country must contractually prohibit re-export to Russia; breaches must be reported to competent authorities</t>
  </si>
  <si>
    <t>UAV components added to restricted items list (Annex VII) — components specifically for the development and production of unmanned aerial vehicles, continuing the package-by-package tightening of drone supply chain controls.
Electrical transformers added to industrial capacity export ban (Annex XXIII) — new goods category targeting enhancement of Russian industrial infrastructure.</t>
  </si>
  <si>
    <t>Shadow fleet vessel sanctions: individual vessels may be listed and subjected to a comprehensive ban covering port access, purchase/sale, chartering, crewing, flag registration, insurance, brokering, bunkering, tug and cargo services, and ship-to-ship transfers. Seven criteria for listing including transporting war goods, irregular AIS practices, transporting stolen Ukrainian grain/cultural property
Road transport: Russian-owned EU operators EU-established road transport undertakings owned ≥25% by Russian persons banned from transporting goods in the EU; applies to new admissions immediately and to post-8 April 2022 registrations from 26 July 2024
Aviation overflight ban tightened (Art. 3d) — extended to any aircraft where a Russian person can effectively determine take-off/landing time or place, closing corporate charter loopholes; small recreational aircraft (≤4 seats, ≤2,000 kg) within EU airspace exempted
61 new entities added to Annex IV enhanced export controls: includes third-country circumvention entities and Russian UAV and military-industrial producers</t>
  </si>
  <si>
    <t>Construction services banned: provision of construction services and civil engineering works to Russian Government or Russia-based entities now explicitly prohibited, alongside existing architectural/engineering bans. Prevents EU operators from contributing to Russian infrastructure.
Russian ports &amp; airports listed — transaction ban: Council may list specific Russian ports/locks (Part A) and airports (Part B) used for UAV/missile transfers, defence goods transport, shadow fleet oil evasion or sanctions circumvention; all transactions with listed infrastructure prohibited. Broad exemptions for energy commodity transit, food/pharma, civil nuclear and humanitarian purposes.
Flight ban extended to third-country carriers: carriers operating domestic flights within Russia, or selling/exporting aircraft or aviation technology to Russian carriers, now banned from EU airspace; applies to their controlled entities too. Closes loophole of non-Russian carriers serving Russian domestic routes.
Road transport tightened: EU road transport undertakings established before 8 April 2022 prohibited from increasing Russian ownership above 25%; prevents gradual Russian creep into existing EU hauliers.</t>
  </si>
  <si>
    <t>Export restrictions expanded to cover additional CNC (computer numerical control) machines contributing to Russian military system production or development.
Further restrictions on exports of machinery that might enhance Russian industrial capacities; new goods added: CN 8414 60 (hoods/ventilation), CN 8422 30 (packaging/dishwashing machines). Derogation for food, beverage, pharmaceutical packaging.
105 vessels banned from EU ports and from receiving maritime transport services, either for transporting Russian crude/petroleum with irregular practices, or for supporting Russian energy sector exploitation.</t>
  </si>
  <si>
    <t>45 entities added to Annex IV (dual-use export restrictions), incl. suppliers of CNC machine tools, UAVs, microelectronics across Russia, China, Hong Kong, India, Thailand.
Export restrictions expanded to rangefinders and electronic components used in military systems production.
Export restrictions on CNC machine tools tightened via new entity listings (e.g. Zhejiang Zhenhuan CNC, Suzhou Ecod Precision).
Ban on transactions with ports and locks in third countries used for UAV, missile or related technology transfer to Russia (Annex XXI, new Part C).
Prohibition on participation, joint ventures and contracts with enterprises in Russian industrial SEZs (e.g. SEZ Alabuga – vehicles/aviation; SEZ Togliatti – automotive; SEZ Lyudinovo – machinery).
5-year ban on reinsurance for used Russian aircraft or vessels following any sale or lease post entry into force (Article 1q).
Sollers group (PJSC Sollers, Sollers Alabuga LLC, Sollers Cargo LLC) listed in Annex IV.# Engineering-related scientific and technical consulting services (CPC group 867) now explicitly prohibited, including geological/geophysical prospecting, subsurface/surface surveying, and map-making services.</t>
  </si>
  <si>
    <t>Complete import ban on Russian iron and steel products into the EU. Prohibited activities include purchasing, transporting, and providing financial assistance, brokering, insurance or re-insurance related to these goods.</t>
  </si>
  <si>
    <t>Import/export bans on silver, aluminium plates/foil/containers, unwrought lead, zinc, tin, tungsten powder, molybdenum, cobalt, zirconium articles, copper wire/bars/plates, nickel products.
Iron and steel products subject to comprehensive import restrictions (Annex XVII / Art. 3g): hot-rolled and cold-rolled sheets, stainless steel, wire rod, merchant bars, tubes, pipes, railway material and many further sub-categories.
Import and/or export bans on a large range of organic and inorganic chemicals: acyclic and cyclic hydrocarbons, phenols, ethers, alcohols, fertilisers (potassium chloride, NPK, PK fertilisers), paints, varnishes, inks, lubricating preparations, plasticisers, solvents, catalysts, adhesives, anti-freeze, biodiesel, rubber compounds and many further sub-categories.
Portland cement and hydraulic cements, articles of concrete and artificial stone, safety glass, float glass, glass containers, glass fibres, ceramic bricks/tiles/pipes, plaster boards, insulating mineral wools, asphalt articles, chalk, gypsum, limestone, dolomite, clays and other mineral earths.
Wood and wood articles, plywood, fibreboard, wood pulp, kraft paper, paperboard, packaging paper, filters, wallpaper base, composite paper, photographic paper, and a large range of further paper and paperboard sub-categories.
Export ban on a broad range of polymers (polypropylene, polyethylene, polycarbonates, polyurethanes, polyamides, PVC, polystyrene, acrylic polymers, etc.), synthetic rubber in all primary forms, unvulcanised rubber compounds, transmission belts, hoses, pneumatic tyres (new, retreaded and used).</t>
  </si>
  <si>
    <t>Export controls are significantly extended to a new Category IX – Special Materials and Related Equipment, covering chemically defined compounds usable in chemical weapons precursor chains
Annex XXI (goods whose import generates significant revenues for Russia) is updated to add spirits, liqueurs and other spirituous beverages (CN 2208) and residues of starch/sugar manufacture and distilling dregs (CN 2303), in addition to the pre-existing list (crustaceans, caviar, cement, chemicals, fertilisers, polymers, wood, paper, glass, metals, vessels, turbines, furniture)</t>
  </si>
  <si>
    <t>Full import/purchase/transfer ban on Russian-origin gold exported after 22 July 2022; covers refined gold and gold processed via third countries (Annexes XXVI &amp; XXVII)</t>
  </si>
  <si>
    <t>New import prohibitions on wood pulp &amp; paper, jewelry stones &amp; precious metals, plastics, cosmetics &amp; finished chemical products, cigarettes/tobacco, all originating in or exported from Russia (Annex XXI expanded)
Goods with no practical use other than capital punishment or torture (specific barbiturate anesthetics, electric shock devices, chemical incapacitants , X.A.VIII.020–022) added to export ban list</t>
  </si>
  <si>
    <t xml:space="preserve">Import ban on carbon black and synthetic rubber - new goods categories; transition quotas until June 2024 (752,475 t carbon black; 562,973 t synthetic rubber) to allow supply chain adjustment
Export ban extended to rare earths and compounds, electronic integrated circuits and thermographic cameras new dual-use controlled goods targeting military sensor and electronics supply
Import ban on construction and industrial minerals: chalk, clays, chamotte, limestone, gypsum, dolomite, magnesite, mica, talc, siliceous earths and hydrogen/nitrogen/oxygen industrial gases broad new category of raw materials
Export ban on live plants, cut flowers, ornamental plants and bulbs to Russia added  new consumer/agricultural goods category.
</t>
  </si>
  <si>
    <t>Steel import ban scope clarified and enforced: importers must now provide evidence of origin of steel inputs used in third-country processing at moment of importation; closes documentation loophole
Electronic components, semiconductor materials, PCB manufacturing/testing equipment, precursors to energetic materials and chemical weapons, optical components, navigational instruments, defence-sector metals and marine equipment added to dual-use export controls (Annex VII update)</t>
  </si>
  <si>
    <t>Full diamond ban: import/purchase/transfer of Russian-origin diamonds and diamond jewelry prohibited from 1 January 2024; covers diamonds transiting Russia of any origin
Indirect import ban on diamonds processed in third countries but incorporating Russian diamonds  phased: ≥1.0 carat from 1 March 2024; ≥0.5 carat / 0.1g from 1 September 2024. Traceability certificates required from 1 September 2024
All related brokering, technical assistance and financial services for the above prohibited
New import bans on liquefied propane gas(CN 2711 12–19), pig iron and spiegeleisen, copper wires, aluminum wire, foil, tubes and pipes, all new goods categories generating significant Russian revenues. Transition periods: copper/aluminium to 20 March 2024; LPG and pig iron to 20 Dec 2024, with volume quotas for pig iron (1.14m t in 2024, 700k t in 2025)
Dual-use export controls (Annex IV) expanded with chemicals, lithium batteries, thermostats, DC motors and servomotors for UAVs, machine tools and machinery parts - new goods targeting drone and weapons production</t>
  </si>
  <si>
    <t>New export ban goods added: chemicals (including manganese ores and rare-earth compounds), plastics, excavating machinery, monitors and electrical equipment; five additional common high priority items also added to Annex XL
New ban: New dual-use export controls (Annex VII): machine tools and All Terrain Vehicles added as items contributing to Russia's military-technological enhancement.</t>
  </si>
  <si>
    <t>Primary aluminium import ban: Russian primary aluminium prohibited from 25 February 2025; transition quota of 275,000 metric tonnes permitted until 26 February 2026, then 50,000 t run-off through end 2026.
New export controls on chemicals (including chemical precursors to riot control agents), chromium compounds, CNC machine software and UAV guidance controllers added to dual-use military-enhancement list (Annex VII).
New ban:Additional chemicals, plastics and rubber added to industrial capacity export ban (Annex XXIII); transit prohibition via Russia extended to cover these new goods</t>
  </si>
  <si>
    <t xml:space="preserve">Export restrictions expanded to constituent chemicals for propellants used in Russian military systems. CN 3402 90 (surfactants) subject to new authorisation requirement; derogation for pre-Jan 2025 contracts until Jan 2028.
Further export restrictions on metals (and plastics: CN 3916 20 PVC profiles) that could enhance Russian industrial capacity. Narrow derogation for PVC flooring sales.
CN 7615 10 (aluminium household/cookware articles) added to export restrictions list. CN 3916 20 (PVC profiles) restricted with derogation for PVC flooring.
</t>
  </si>
  <si>
    <t xml:space="preserve">Export restrictions expanded to additional chemicals used in preparation of propellants (military use)
Export restrictions expanded to additional metals, oxides and alloys used in manufacturing of military systems
Export restrictions on salts and ores (industrial capacity enhancement)
Export restrictions on articles of rubber, tubes, and tyres
Export restrictions on millstones and construction materials
Participation, joint ventures, financing and contracts with enterprises in Russian SEZs prohibited, including zones relevant to mining and petrochemicals (e.g. Free Port of Vladivostok, SEZ Alabuga, SEZ Lipetsk).
</t>
  </si>
  <si>
    <t>No Comments on Materials</t>
  </si>
  <si>
    <t>No Comments on Information Technology</t>
  </si>
  <si>
    <t>Cyber-security &amp; information security goods: exports to Russian government and government-controlled entities prohibited; civilian/private sector entities now explicitly</t>
  </si>
  <si>
    <t xml:space="preserve">Semiconductors &amp; integrated circuits:  broad new export ban (Annex VII Part B) covering diodes, transistors, processors, controllers, memory chips and amplifiers (CN 8541–8542); also forensic/aerial cameras (CN 9006 30).
IT consultancy services: providing hardware installation consultancy, software implementation services or IT advisory to Russian Government or Russia-based entities prohibited (Art. 5n §2); carve-out for software updates for civilian/non-military use
</t>
  </si>
  <si>
    <t>Laptops, hard drives, IT components, night-vision and radio-navigation equipment added to export ban (Annex XXIII) — new consumer and professional IT hardware categories not previously covered
Russian Quantum Center, JSC Scientific Research Institute of Computing Machinery and 166 other military-IT linked entities added to enhanced dual-use export controls</t>
  </si>
  <si>
    <t>Rare earths and rare-earth compounds, additional electronic integrated circuits and thermographic cameras added to dual-use export controls (Annex VII) — new categories targeting military sensor, imaging and electronics manufacturing</t>
  </si>
  <si>
    <t xml:space="preserve">Enterprise management software and industrial design/manufacturing software prohibited for sale, supply, transfer or export to Russian Government or Russia-based entities (new Art. 1k §2b), covers ERP, CAD/CAM, PLM and similar systems. Wind-down to 20 March 2024 for pre-existing contracts. Carve-out for Russian contributions to open-source projects
</t>
  </si>
  <si>
    <t>IP registration ban: EU IP offices and national offices must not accept new trademark, patent, industrial design, utility model, geographical indication or PDO applications from Russian nationals, Russia-residents or Russia-incorporated entities; best efforts required for European Patent Office and WIPO
IP no-re-export clause for common high priority items: from 26 December 2024, transfers of IP rights/trade secrets related to common high priority items to third-country counterparts must contractually prohibit use in connection with exports to Russia</t>
  </si>
  <si>
    <t>New prohibition on providing software with certain uses in the banking and financial sector (Annex XXXIX of Reg. 833/2014) to the Russian government or entities in Russia. Transition period until 30 Sep 2025 for contracts concluded before 20 Jul 2025.
26 new entities (Russia, China, Turkey, Hong Kong) added to Annex IV (military/industrial complex list) — tighter export restrictions on dual-use and defence-enhancing goods, incl. UAV-related items. New prior authorisation mechanism for Annex VII goods to third countries where Russian end-use is suspected.</t>
  </si>
  <si>
    <t>Export restrictions expanded to electronic components used in development/production of Russian military systems
Ban on providing AI services (access to models, training/fine-tuning/inference platforms) to Russian government or entities, from 25 November 2025
Ban on providing high-performance computing services (incl. GPU-accelerated) and quantum computing services, from 25 November 2025
Ban on commercial space-based services (Earth observation, satellite navigation) to Russian government or entities, from 25 November 2025
Multiple IT/electronics entities listed in Annex IV: Splendent Technologies (HK), MicroEM AO (Russia), TsNIRTI (Russia), TD Simmetron EK (Russia), GNSS Plus LLC (Russia), LLC TR-Link (Russia), and others
Ban on new participation/contracts in technology-innovative SEZs: Technopolis Moscow, SEZ St. Petersburg, SEZ Dubna, SEZ Innopolis, Skolkovo Innovation Centre
Existing ban on enterprise management, industrial design, and banking software (Annex XXXIX) maintained; transitional contracts before 20 July 2025 ended 30 September 2025</t>
  </si>
  <si>
    <t>Extended export controls on dual-use technology under Annex VII add: quantum computing equipment (qubit circuits, qubit devices, quantum processors), semiconductor decapsulation equipment, and advanced microscopy (SEM, TEM, AFM, with XPS/EDX analytical capabilities).
Export ban on equipment for the production of microelectromechanical systems (MEMS), organic electronics (OLED, OFET, OPVC), and printed electronics.
Export ban on cryogenic refrigeration systems used in quantum computing.
Export controls extended to software specially designed for additive manufacturing, quantum devices, and related digital twin software.
Export ban on electrical and electronic equipment including generators, transformers, motors, capacitors, fixed resistors, switches, arc lamps, cathode ray tubes, microwave tubes, particle accelerators, electron beam furnaces, and electrical signalling equipment for railways and roads.</t>
  </si>
  <si>
    <t>Complete export ban on luxury goods to Russia (Annex XVIII), for items valued above EUR 300 per item (unless otherwise specified). The banned categories include:
Horses, caviar, truffles; Wines, spirits, champagne, beer; Cigars and cigarillos; Perfumes, cosmetics, beauty products; Leather goods, handbags, saddlery, travel goods; Clothing and footwear of all kinds; Carpets, rugs, tapestries; Pearls, precious stones, jewellery, gold and silverware; Coins and non-legal tender banknotes; Precious metal cutlery and tableware; Porcelain and fine pottery tableware; Lead crystal items; Electronic household items (value &gt; EUR 750); Audio/video recording and reproducing devices (value &gt; EUR 1,000); Vehicles for personal transport (value &gt; EUR 50,000); motorbikes (value &gt; EUR 5,000); Clocks and watches; Musical instruments (value &gt; EUR 1,500); Works of art, collectors' pieces, antiques; Sports equipment (skiing, golf, diving, water sports); Billiard, casino, and coin-operated game equipment.</t>
  </si>
  <si>
    <t>Luxury goods ban (Art. 4j) consolidated and clarified, explicitly applies to all luxury goods whether or not originating in the EU; personal-use exemptions added for travellers' own effects and diplomatic vehicle</t>
  </si>
  <si>
    <t>New export controls on fentanyl and derivatives (alfentanil, sufentanil, remifentanil, carfentanil and salts , X.C.IX.002) and fentanyl synthesis precursors (4-anilino-N-phenethylpiperidine, N-phenethyl-4-piperidone, X.C.IX.003) restrict export of controlled opioid substances to Russia
New export controls on nucleic acid assemblers/synthesizers (&gt;50 bases) and automated peptide synthesizers restrict export of biotechnology research and production equipment
However: No direct restrictions on medical or pharmaceutical products — these remain explicitly exempted throughout the regulation</t>
  </si>
  <si>
    <t>No direct sector-specific sanctions are imposed on health care companies or products. Medical, pharmaceutical and food goods are explicitly exempted from multiple prohibitions (port access, road transport, public contracts) throughout the regulation.
Nuclear medicine: supply of precursor material for medical radioisotopes is exempted from public procurement restrictions (Art. 5k)</t>
  </si>
  <si>
    <t>3 additional Russian state media outlets are added to the broadcasting suspension list (Annex XV): Rossiya RTR / RTR Planeta, Rossiya 24 / Russia 24, and TV Centre International
It is now prohibited to advertise products or services in any content produced or broadcast by all Russian media entities</t>
  </si>
  <si>
    <t>Russian funding of EU political actors banned: European political parties, national political parties/alliances, NGOs and media service providers in the EU prohibited from accepting donations, financing or any other economic benefit from the Russian Government, Russian state-owned entities or their proxies; derogation possible for cultural/humanitarian purposes if no democratic interference.</t>
  </si>
  <si>
    <t xml:space="preserve">New Russian state-controlled media outlets added to broadcasting ban (Annex XV — pending Council implementing act from 9 April 2025) — exact outlet names listed in Annex to this Decision pending activation.
</t>
  </si>
  <si>
    <t>Ban on providing AI-based services to Russian government or entities affects AI-based communication and media service providers, from 25 November 2025
Tourism-related services in Russia prohibited (CPC classes 7471 and 7472 – tour operator and travel agency services) to reduce revenues and deter non-essential travel
Telecommunications operators retain carve-out for electronic communication services necessary for network operation/maintenance/security in Russia, Ukraine, and between Russia/Ukraine and EU.</t>
  </si>
  <si>
    <t>No Comments on Consumer Discretionary</t>
  </si>
  <si>
    <t>No Comments on Consumer Staples</t>
  </si>
  <si>
    <t>No Comments on Health Care</t>
  </si>
  <si>
    <t>No Comments on Communication Services</t>
  </si>
  <si>
    <t xml:space="preserve">Coal prohibition (Art. 3j) directly affects utilities dependent on Russian coal for power generation, as the import of coal and all solid fossil fuels from Russia is banned (with wind-down to 10 August 2022)
Civil nuclear capabilities are explicitly exempted from public procurement bans (Art. 5k) and programme funding bans (Art. 5l), covering operation, maintenance, decommissioning, radioactive waste management, and fuel supply
Wind-powered generating sets are included in the broader industrial machinery export ban list (Annex XXIII, CN 8502 31), restricting supply of wind turbines to Russia
</t>
  </si>
  <si>
    <t>No Comments on Utilities</t>
  </si>
  <si>
    <t>Prohibition on new participation, joint ventures, contracts and financing with enterprises in Russian SEZs listed in Annex XXV (Part A: immediate; Part B: from 25 Jan 2026)
Part A zones (immediate): SEZ Alabuga (Tatarstan), Technopolis Moscow
Part B zones (from 25 Jan 2026): SEZ Lipetsk, SEZ Togliatti, SEZ Lyudinovo, SEZ St. Petersburg, SEZ Dubna, SEZ Innopolis, SEZ Port Ulyanovsk, Skolkovo Innovation Centre, Free Port of Vladivostok</t>
  </si>
  <si>
    <t>Full ban on purchase, import or transfer of LNG (CN code 2711 11 00) originating in/exported from Russia, effective 25 April 2026; long-term contracts before 17 June 2025 delayed to 1 January 2027.
Ban extended to all acyclic hydrocarbons (CN code 2901 10 00); Hungary transitional exemption until 25 July 2026 for domestic use only.
117 additional vessels designated to shadow fleet list (Annex XVI) for irregular and high-risk oil/petroleum shipping practices.
Energy-related transaction exemptions removed for Rosneft (entry 4) and Gazprom Neft (entry 6) in Annex X.
Petroleum products import partner country list expanded (Annex XXIV): Switzerland, Australia, Japan, New Zealand added</t>
  </si>
  <si>
    <t>No Comments on Industrials</t>
  </si>
  <si>
    <t>Prohibition on broadcasting content of listed outlets in the EU or directed at EU audiences.</t>
  </si>
  <si>
    <t>Two new Arabic-language Russian state media outlets added to broadcasting ban: RT Arabic and Sputnik Arabic.</t>
  </si>
  <si>
    <t xml:space="preserve">Export ban on a very broad list of industrial machinery and equipment contributing to Russian industrial capacity, including: boilers and steam turbines, pumps and compressors, furnace burners, industrial ovens, centrifuges, machine tools (metalworking, woodworking, textile, printing, paper), pulp and paper making machinery, bookbinding machinery, packaging machinery, textile machines (spinning, weaving, finishing), leather working machines, foundry equipment, construction machinery (bulldozers, excavators, pile drivers), lifting equipment (cranes, hoists), industrial robots, pneumatic and hydraulic motors and engines, air conditioning units, and many further categories of mechanical equipment.
Export of all goods and technology for the aviation and space industry is prohibited. Financial leases on aircraft are restricted.
Extended export controls on dual-use and military-enhancement items (Annex VII, Art. 2), newly including oil exploration equipment, quantum computing components, advanced microscopy, additive manufacturing systems, cryogenic refrigeration systems, semiconductor decapsulation equipment, and advanced materials.
Russian-flagged vessels denied access to all EU ports from 16 April 2022.
Road transport undertakings established in Russia (and Belarus) prohibited from transporting goods by road in the EU.
Russian nationals and Russian-controlled entities are barred from being awarded or continuing public contracts and concessions under EU procurement directives, covering all procurement across all sectors (works, supplies, services, defence).
Export ban on road tractors (diesel, hybrid, electric), dumpers, heavy goods vehicles, special purpose vehicles (fire-fighting vehicles, mobile drilling derricks), works trucks, and trailers.
Export ban on a wide range of textile products: wool yarn and fabrics, cotton yarn and fabrics, synthetic and artificial fibres and filaments, woven fabrics of various compositions, knitted fabrics, wadding, rubber-coated textile belts, and industrial textile products.
</t>
  </si>
  <si>
    <t>Extended luxury goods restrictions to include optical equipment: night vision and thermal imaging equipment, binoculars, spotting scopes, telescopic sights, weapon sights, red dot sights and rangefinders.
Restrictions on jewellery and articles of precious metals and stones (gold, silver, platinum, palladium, diamonds, pearls, etc.).
Import ban on furniture from Russia (CN 9403).</t>
  </si>
  <si>
    <t>Firearms: sale, supply, transfer or export of firearms, 
parts, components and ammunition (per Annex I of Reg. 258/2012) 
to Russia fully prohibited (new Art. 2aa); includes related financial
and technical assistance
Architectural &amp; engineering services prohibited for Russian Government and Russia-based entities; covers architectural design, integrated engineering, urban planning and technical consulting (Art. 5n §2).
Legal advisory services provision of legal advice on commercial transactions, negotiations and document preparation to Russian Government or Russia-based entities prohibited; excludes court/arbitration representation and access-to-justice proceedings.</t>
  </si>
  <si>
    <t>New investment ban on Russia's mining &amp; quarrying sector (Art. 3a §2) — no new equity, loans, JVs or investment services; carve-out for critical raw materials listed in Annex XXX (e.g. lithium, cobalt, rare earths)
Steel import ban extended to CN 7224 90 (other alloy steel semi-products) processed in third countries incorporating Russian steel — new product category not previously covered; transitional quotas: 147,007 t (2023) and 110,255 t (Jan–Sep 2024).
Drone engines, additional riot control agents and further chemical/biological equipment added to dual-use export controls (Annex VII) — new goods not previously listed
Exempt: Mining &amp; quarrying investment ban explicitly does not apply to activities whose primary output is critical raw materials listed in Annex XXX (lithium, cobalt, nickel, rare earths, titanium and other strategic minerals). Investment in these sub-sectors remains permitted</t>
  </si>
  <si>
    <t xml:space="preserve">
The import ban on revenue-generating goods is extended to include undenatured ethyl alcohol &lt;80% vol., spirits, liqueurs and other spirituous beverages
Import of residues of starch manufacture, beet-pulp, bagasse, sugar manufacture waste, brewing and distilling dregs (CN 2303) from Russia is newly prohibited.
</t>
  </si>
  <si>
    <t>Ukrainian cultural property ban: purchase, import, transfer, sale or export of Ukrainian cultural, archaeological, historical, scientific or religious goods where there are reasonable grounds to suspect unlawful removal from Ukraine; includes goods from public museum, archive, library or religious institution collections.
Note: this is more heritage protection - therefore 0</t>
  </si>
  <si>
    <t>Distribution of Severeity</t>
  </si>
  <si>
    <t>EO/Source</t>
  </si>
  <si>
    <t>General Cross Cutting 
Orders applying to all 11 Sectors</t>
  </si>
  <si>
    <t>BIS Export Controls and Proclamations</t>
  </si>
  <si>
    <t xml:space="preserve">Executive Orders </t>
  </si>
  <si>
    <t xml:space="preserve">Oil Refining Sector Rule (Mar. 2, 2022): Policy of denial on items for Russian deepwater oil/gas exploration and extraction; restrictions on refining equipment.
Priority Export Items: Oil field equipment identified as priority item for export control enforcement.
Proclamation 10371 (Apr. 22, 2022; effective Apr. 28, 2022):  Prohibits Russian-flagged, Russian-owned, or Russian-operated vessels from entering US ports. Exemption for nuclear material transport.
</t>
  </si>
  <si>
    <t xml:space="preserve">E.O. 14024 (Apr. 15, 2021; as amended by E.O. 14114): Primary authority for blocking sanctions on persons operating in designated sectors of Russia’s economy, including financial services.
E.O. 14071: (Apr. 6, 2022) Prohibits purchasing new and existing debt and equity securities issued by any entity in Russia.
E.O. 14114 (Dec. 22, 2023): Subjects FFIs to heightened secondary sanctions risks, including CAPTA sanctions for facilitating significant transactions for/on behalf of blocked persons or Russia’s military-industrial base.
</t>
  </si>
  <si>
    <t>BIS Guidance to Financial Institutions on Compliance with the EAR (Oct. 9, 2024)
Best practice recommendations for financial institutions on risk-based customer due diligence and transaction monitoring for potential violations or evasion of US export controls. Relevant to both US and non-US financial institutions given the EAR's 'commodity jurisdiction. Expectations include screening against Russian/Belarusian military-intelligence end users, monitoring for Common High Priority List items shipped to Russia, and monitoring for red flags related to Russia-related export control evasion.</t>
  </si>
  <si>
    <t xml:space="preserve">Directive 1A (Feb. 22, 2022): Prohibits US financial institutions from participating in secondary market for bonds issued after Mar. 1, 2022 by Directive 4 Entities.
Directive 2 (Feb. 24, 2022): Prohibits US financial institutions from opening/maintaining correspondent or payable-through accounts for determined FFIs, and from processing transactions involving such FFIs.
Ref: OFAC, Directive 2 under E.O. 14024; FAQs 967, 969-973; Debevoise p. 23
Directive 3 (Feb. 24, 2022; effective Mar. 26, 2022): Prohibited transactions in new debt &gt;14 days and new equity of 13 determined entities including Sberbank, Alfa-Bank, Gazprombank, Alrosa, Sovcomflot, Gazprom Neft.
Directive 4 (Feb. 28, 2022; revised May 19, 2023):  Prohibits any transaction involving Central Bank of Russia, National Wealth Fund, or Ministry of Finance, including foreign exchange transactions
Financial Services Sector (Feb. 22, 2022): First sectoral determination enabling blocking sanctions on persons in Russia’s financial services sector.
Expands scope for blocking sanctions (May 8,2022): Accounting, Trust and Corporate Formation Services, Management Consulting Sectors 
Accounting, Trust and Corporate Formation, and Management Consulting Services Prohibition (effective Jun. 7, 2022):
Prohibits the exportation, reexportation, sale or supply by a US person of accounting, trust and corporate formation, and management consulting services to any person located in Russia. Accounting services include measurement, processing, evaluation of financial data, tax preparation and filing (FAQs 1034, 1068). Trust and corporate formation services include forming/structuring trusts and corporations, providing registered agents, administrative services (FAQ 1034; FAQ 1063 on nominee officers/directors). Management consulting services include strategic business advice, organizational planning, marketing evaluation, M&amp;A, staff augmentation, HR, brand management, executive search (FAQs 1034, 1064). Does not bar US persons from serving on boards of Russian companies but prohibits nominee officer/director services (FAQ 1060) and serving as voting trustees (FAQ 1065). Educational services on these subjects are not prohibited (FAQ 1066). FAQ 1061 clarifies US persons are not generally prohibited from working as employees of entities in Russia. FAQ 1058 defines 'person located in the Russian Federation.'
</t>
  </si>
  <si>
    <t>E.O. 14068: Import Prohibitions; Metals Import Determination (Mar. 11, 2022), Framework for import bans. Gold import ban added Jun. 28, 2022. Metals Import Determination applied Apr. 12, 2024. Ref: 87 Fed. Reg. 14381
E.O. 14024 Sectoral Determination: Metals and Mining (Feb. 24, 2023): Enables blocking sanctions on persons in metals and mining sector. Ref: Debevoise p. 16 fn. 72</t>
  </si>
  <si>
    <t>Gold Import Determination (Jun. 28, 2022; revised Dec. 22, 2023): Prohibits imports of gold of Russian Federation origin. Ref: OFAC, Determination Pursuant to Section 1(a)(i)(A) of E.O. 14068; FAQ 1070
Metals Import Determination Aluminum, Copper, Nickel (Apr. 12, 2024): Prohibits import of Russian-origin aluminum, copper, and nickel produced on/after Apr. 13, 2024. Does not apply to metals incorporated into other products outside Russia.OFAC, Determination Pursuant to Section 1(a)(i)(A) of E.O. 14068; FAQs 1168, 1169, 1170, 1171, 1172
Diamonds Determination (Feb. 8, 2024): Phased ban: diamonds ≥1.0 carat from Mar. 1, 2024; ≥0.5 carat from Sep. 1, 2024. Ref: OFAC, Determination Pursuant to Section 1(a)(i)(B) of E.O. 14068; FAQ 1165, 
Diamond Jewelry and Unsorted Diamonds Determination (Feb. 8, 2024):Prohibits import of diamond jewelry and unsorted diamonds of Russian origin or exported from Russia. Ref: OFAC, Determination Pursuant to Sections 1(a)(i)(A) and 1(a)(i)(D) of E.O. 14068
Metals and Mining Sector Determination under E.O. 14024 (Feb. 24, 2023):  Defines sector to include extracting, processing, manufacturing, refining geological materials. FAQ 1115 defines scope; FAQ 1117 safety/environmental exemptions.
Services for Acquisition of Aluminum, Copper, or Nickel (effective Apr. 12, 2024): Prohibits warranting services, acquisition services on global metal exchanges, and physical settlement services for Russian-origin aluminum, copper, nickel. Ref: OFAC, Determination Pursuant to Section 1(a)(ii) of E.O. 14071; FAQ 1169</t>
  </si>
  <si>
    <t>Expanded Items List (Jan. 23, 2024): Added chemicals, lubricants, metals, aircraft/spacecraft parts to licensing requirements. Ref: Debevoise p. 41
522 Additional HTS Entries (Jun. 12, 2024): Including commercial and industrial items across 22 chapters of HTS codes. Ref: 87 Fed. Reg. 51644 (Jun. 18, 2024); Debevoise p. 41</t>
  </si>
  <si>
    <t xml:space="preserve">E.O. 14024:  Sectoral Determinations: Architecture, Engineering, Construction, Manufacturing, and Transportation (May 19, 2023)
Enables blocking sanctions on persons operating in these sectors of Russia’s economy.
E.O. 14024  Sectoral Determination: Aerospace and Marine/Electronics (Mar. 31, 2022):
Earlier sectoral determination covering aerospace, marine, and electronics sectors.
E.O. 14114 Expanded Scope (Dec. 22, 2023): Amended E.O. 14024 to explicitly cover construction, aerospace, manufacturing sectors for secondary sanctions purposes.
</t>
  </si>
  <si>
    <t xml:space="preserve">Architecture Services Prohibition (effective Jun. 18, 2023): Covers advisory, pre-design, schematic design, design development, contract administration, post-construction services, urban planning, landscape architecture. FAQ 1129 defines scope. Ref: OFAC, Determination Pursuant to Section 1(a)(ii) of E.O. 14071, Prohibitions Related to Architecture Services and Engineering Services (May 19, 2023); FAQ 1129
Engineering Services Prohibition (effective Jun. 18, 2023): Covers structural, mechanical, electrical engineering; industrial processes; geotechnical, geophysical, geochemical consulting; surveying; testing services. FAQ 1128 defines scope.
Transport Restrictions Proclamation 10371 : Russian-Affiliated Vessels Ban (Apr. 22, 2022)
Prohibits Russian-flagged, owned, or operated vessels from entering US ports.
Maritime Transport Services Determinations (Nov. 21, 2022 / Feb. 3, 2023): Shipping, flagging, customs brokering services restricted under oil price cap.
</t>
  </si>
  <si>
    <t>Russia Rule (effective Feb. 24, 2022): Expanded licensing requirements to all items on Commerce Control List, particularly for defense, aerospace, and maritime industries.
Ref: 87 Fed. Reg. 12226 (Mar. 3, 2022)
Expanded Industrial Items (Sep. 15, 2022): Further export controls on industrial and commercial items supporting Russian/Belarusian military.
BIS Violations and TDOs Russian Airlines:
184 aircraft identified for EAR violations; TDOs issued to Aeroflot (Apr. 7, 2022), Azur Air/UTair (Apr. 7, 2022), Aviastar (May 20, 2022), Rossiya (May 20, 2022), Belavia (Jun. 16, 2022), Nordwind/Pobeda/S7 (Jun. 24, 2022), URAL Airlines (Oct. 13, 2022), Smartavia (May 16, 2023)
GL 40C: Civil Aviation Safety: Authorizes transactions for civil aviation safety involving blocked entities listed in annex.
Ref: Debevoise p. 28-29
GL 7A: Overflight and Emergency Landings Authorizes overflight charges, emergency landings, air ambulance services.
Priority Items List: Aircraft parts/equipment, antennas, breathing systems, cameras, GPS systems, inertial measurement units, integrated circuits, oil field equipment.
Common High-Priority Items (50 Harmonized System codes): Electronic integrated circuits, wireless transceiver modules, radio navigational aids, capacitors, ball/roller bearings, navigation antennae.</t>
  </si>
  <si>
    <t>Quantum Computing Sector (Sep. 15, 2022): Enables blocking sanctions on persons in quantum computing sector. Broadly defined to include quantum computing infrastructure, web hosting, data processing, computer programming, systems integration, hardware repair. FAQ 1086. Ref: OFAC, Determination Pursuant to Section l(a)(i) of E.O. 14024 (Sept. 15, 2022); FAQ 1086; Debevoise p. 16 fn. 71
Quantum Computing Services Prohibition (effective Oct. 15, 2022)
Prohibits quantum computing services including custom programming, systems integration, hosting, data processing, hardware repair. FAQ 1084. Ref: OFAC, Determination Pursuant to Section l(a)(ii) of E.O. 14071 (Sept. 15, 2022); FAQ 1084; 
IT and Software Services Determination (effective Sep. 12, 2024):
Prohibits: (i) IT consultancy and design services (CPC 83131/83141), (ii) IT support services (CPC 83132), (iii) cloud-based services (SaaS), for enterprise management software and design/manufacturing software. FAQs 1184-1187.
Ref: OFAC, Determination Pursuant to Section 1(a)(ii) of E.O. 14071 (Jun. 12, 2024); FAQs 1185, 1186, 1187;</t>
  </si>
  <si>
    <t>Russia Rule (Feb. 24, 2022) Semiconductors, Computers, Telecommunications:  License requirements for items Russia relies on for defense/aerospace: semiconductors, computers, telecommunications, information security equipment, lasers, sensors.
Ref: 87 Fed. Reg. 12226 (Mar. 3, 2022); Debevoise p. 40
Quantum Computing Controls (Sep. 15, 2022):  Controls on quantum computing-related hardware, software, and technology.
Consumer Communications Devices (CCD) License Exception Restrictions (Jun. 12, 2024): Lower-level graphics processing units no longer eligible for CCD exception to Russia/Belarus.
Ref: 87 Fed. Reg. 51644; Debevoise p. 41
Software Licensing Requirements (Jun. 12, 2024):  Enterprise resource planning, CRM, business intelligence, supply chain management, project management software, CAD, CAM, engineering to order, and CNC machine tool software. Ref: 87 Fed. Reg. 51644; 89 Fed. Reg. 68539 (Aug. 27, 2024); Debevoise p. 41 fn. 169
Foreign Direct Product Rule — 15 CFR 734.9(f) and (g) Restricts items manufactured with US software/technology, even by non-US persons, from reaching Russia.
Ref: Debevoise p. 42</t>
  </si>
  <si>
    <t>E.O. 14068 Luxury Goods Export Ban (Mar. 11, 2022): Prohibits export, reexport, sale or supply of luxury goods to any person in Russia. BIS list includes certain spirits, tobacco, clothing items, jewelry, vehicles, antique goods. Ref: 87 Fed. Reg. 14381 (Mar. 15, 2022); Debevoise p. 14 fn. 55
E.O. 14068 Fish, Seafood, and Alcoholic Beverages Import Ban (Mar. 11, 2022): Prohibits US import of Russian-origin fish, seafood, and preparations thereof; alcoholic beverages; non-industrial diamonds. Ref: Debevoise p. 14 fn. 52-53; FAQs 1025, 1027
E.O. 14114 Expanded Import Restrictions (Dec. 22, 2023): Broadened to cover products mined/extracted/produced/manufactured wholly or in part in Russia, or harvested in Russian waters or by Russia-flagged vessels. Ref: Debevoise p. 14 fn. 57
E.O. 14071 New Investment Prohibition (Apr. 6, 2022): Prohibits all new investment in Russia, including in consumer discretionary sectors.
Ref: 87 Fed. Reg. 20999; Debevoise p. 6-7</t>
  </si>
  <si>
    <t>Fish, Seafood, and Preparations Thereof Determination (Dec. 22, 2023): Identifies salmon, 
cod, pollock, or crab produced wholly or in part in Russia or harvested in Russian waters/by 
Russian vessels.</t>
  </si>
  <si>
    <t>SDN-Related End-User Controls (effective Mar. 21, 2024): License requirements for all items subject to EAR involving persons blocked under 14 OFAC sanctions programs (7 Russia-related). Expanded from prior luxury goods restrictions. Ref: 89 Fed. Reg. 20107 (Mar. 21, 2024); Debevoise p. 42-43
Legislation Suspending Normal Trade Relations Act Revokes Russia’s Most Favored Nation status; applies Column 2 tariff rates to Russian imports.</t>
  </si>
  <si>
    <t xml:space="preserve">E.O. 14071 New Investment Prohibition (Apr. 6, 2022):  Prohibits all new investment in Russia by US persons, including in consumer staples.
E.O. 14068  Fish/Seafood Import Ban (Mar. 11, 2022): Import prohibition on Russian-origin fish, seafood, and preparations thereof.
Exemptions: GL 6D  Agricultural Commodities, Medicine, Medical Devices, COVID-19, Clinical Trials (effective Jun. 12, 2024):  Authorizes transactions related to: (1) production, manufacturing, sale, transport of agricultural commodities, agricultural equipment, medicine, medical devices; (2) COVID-19 prevention/treatment; (3) clinical trials and medical research. Also authorizes certain services otherwise prohibited (accounting, management consulting, IT) when related to these activities.
Definitions: Agricultural Commodities Definition: Products under Section 102 of the Agricultural Trade Act of 1978 (7 U.S.C. 5602): (i) food for humans including raw, processed and packaged foods; (ii) seeds for food crops; (iii) fertilizers or organic fertilizers; (iv) reproductive materials for food animals.
Ref: Debevoise p. 25 fn. 114
Medicine Definition: Items within the definition of “drug” in Section 201 of the Federal Food, Drug, and Cosmetic Act (21 U.S.C. 321).
</t>
  </si>
  <si>
    <t>E.O. 14071 — New Investment Prohibition (Apr. 6, 2022)
Applies to all sectors including health care.
Exemptions: GL 6D — Medicine, Medical Devices, Clinical Trials (effective Jun. 12, 2024)
Authorizes: (1) transactions related to medicine, medical devices, replacement parts and components, software updates for medical devices; (2) COVID-19 prevention/treatment/research; (3) clinical trials and other medical research. Also exempts certain prohibited services (accounting, management consulting, IT, petroleum services) when provided in connection with these activities.
Ref: Debevoise p. 25-26
GL 7A — Air Ambulance and Medical Services
Authorizes air ambulance and related medical services, including medical evacuation, to individuals in Russia.</t>
  </si>
  <si>
    <t>E.O. 14071 New Investment Prohibition (Apr. 6, 2022): 
Prohibits new investment in Russia including media/telecom sectors.
Ref: 87 Fed. Reg. 20999; Debevoise p. 6-7
E.O. 14024  Blocking Sanctions Authority:  Used to designate Russian state media entities.
General Licenses: 
GL 25G — Telecommunications and Certain Internet-Based Communications (effective Oct. 30, 2024)
Authorizes receipt/transmission of telecommunications; export of services incident to internet communications (chat, email, social networking, video conferencing, e-gaming, e-learning, web hosting, domain name registration, automated translation, web maps, user authentication). Also authorizes software/hardware/technology incident to internet communications if BIS-licensed.
Ref: Debevoise p. 27-28
GL 25G Exclusions: Does NOT authorize transactions involving: JSC Channel One Russia, JSC NTV Broadcasting Company, Television Station Russia-1, LLC Algoritm, New Eastern Outlook, Oriental Review, Garantex Europe OU, Autonomous Non-Profit Organization Dialog, Federal State Unitary Enterprise International Information Agency Rossiya Segodnya, Autonomous Non Profit Organization TV Novosti, XH Smart Tech China Co Ltd, CJSC Perspective Technologies Agency.
Ref: Debevoise p. 28
GL 52 Journalistic Activities and News Bureaus: Authorizes journalistic activities for US news organizations. Excludes transactions involving Channel One Russia, NTV, Russia-1, LLC Algoritm, New Eastern Outlook, Oriental Review.
Ref: Debevoise p. 30
GL 64 Kommersant Newspaper: Authorizes transactions ordinarily incident to newspaper operations of Joint Stock Company Kommersant. Ref: Debevoise p. 31
GL 65 Megafon and Digital Invest (Telecom): Authorizes receipt/transmission of telecommunications involving Megafon PAO, Digital Invest LLC, and Tajikistan/Uzbekistan operations. Does NOT authorize correspondent accounts or Directive 2/E.O. 14066/14068 transactions.</t>
  </si>
  <si>
    <t>E.O. 14066 (Mar. 8, 2022):  Prohibits importation of Russian-origin crude oil, petroleum, petroleum fuels, LNG, coal, and coal products. Also prohibits new investment in Russia’s energy sector. Ref: 87 Fed. Reg. 13625 (Mar. 11, 2022)
E.O. 14071 (Apr. 6, 2022): Prohibits all new investment in Russia by US persons. Authority for services bans (petroleum services determination).
Ref: 87 Fed. Reg. 20999 (Apr. 8, 2022); Debevoise p. 6-7
E.O. 14024: Energy sector added to sectoral determination scope on Jan. 10, 2025, enabling blocking sanctions on persons operating in Russia’s energy sector. Ref: 86 Fed. Reg. 20249 (Apr. 19, 2021); 
E.O. 14114 (Dec. 22, 2023): Expanded import bans; heightened secondary sanctions risks for FFIs facilitating transactions involving Russia’s military-industrial base.
E.O. 14024 Energy Sector Determination (Jan. 10, 2025): Defines “energy sector” to include “the development, production, testing, generation, transmission, financing or exchange of power, through any means, including nuclear, electrical, thermal, and renewable.” This encompasses power utilities. Ref: FAQ 1213; Debevoise p. 16 fn. 74</t>
  </si>
  <si>
    <t>E.O. 14071 New Investment Prohibition (Apr. 6, 2022): Prohibits all new investment in Russia, applicable to utilities.
Ref: 87 Fed. Reg. 20999
E.O. 14024 Energy Sector Determination (Jan. 10, 2025): Defines “energy sector” to include “the development, production, testing, generation, transmission, financing or exchange of power, through any means, including nuclear, electrical, thermal, and renewable.” This encompasses power utilities. Ref: FAQ 1213; Debevoise p. 16 fn. 74
General Licenses:
GL 115C Civil Nuclear Energy (through Jun. 18, 2026): Authorizes transactions related to civil nuclear energy involving 13 blocked entities (Gazprombank, VEB, Sberbank, VTB, Alfa-Bank, Otkritie, Sovcombank, Rosbank, Bank Zenit, Bank Saint-Petersburg, NCC, plus Central Bank of Russia) when related to maintaining/supporting civil nuclear energy projects initiated before Nov. 21, 2024. Includes extraction, enrichment, fabrication, transport of uranium; production, generation, transmission of nuclear power.
Ref: Debevoise p. 33; FAQ 1203
GL 132 — Paks II Civil Nuclear Power Plant Project (Hungary)
Authorizes transactions involving Paks II nuclear plant project. Does NOT authorize new nuclear projects after Nov. 21, 2024.</t>
  </si>
  <si>
    <t>E.O. 14071 New Investment Prohibition (Apr. 6, 2022): Explicitly defines “new investment” to include “the purchase or acquisition of real estate in Russia (other than for noncommercial, personal use).” FAQ 1049.
E.O. 14065 Embargo on Breakaway Territories (Feb. 21, 2022): Comprehensive sanctions on DPR and LPR regions, prohibiting new investment, imports, and exports. Effectively bars all real estate transactions in these territories.</t>
  </si>
  <si>
    <t>OFAC Sectorial Directives, Determinations, Bans and FAQs</t>
  </si>
  <si>
    <t>FAQ 1049: Defines “new investment” to include purchase/acquisition of real estate in Russia (other than for noncommercial, personal use).
Ref: Debevoise p. 7
FAQ 1050: “Maintenance” of investments includes preservation and upkeep of preexisting tangible property in Russia.
Ref: Debevoise p. 7 fn. 7
FAQ 1052: US persons may continue to fund subsidiaries/affiliates with operations in Russia if limited to “maintenance” activities.
Ref: Debevoise p. 7 fn. 7
FAQ 1053 Facilitation of divestment of preexisting investment is not prohibited.
Ref: Debevoise p. 7 fn. 8
FAQ 1055: US persons not prohibited from lending to entities outside Russia deriving &lt;50% of revenue from Russian investments.</t>
  </si>
  <si>
    <t xml:space="preserve">Sector Definition by the OFAC (Jan. 10, 2025Defines “energy sector” broadly: procurement, exploration, extraction, drilling, mining, harvesting, production, refinement, liquefaction,
gasification, conversion, enrichment, fabrication, manufacturing, testing, financing, distribution, purchase or transport of petroleum; nuclear, electrical, thermal, renewable energy; 
provision of goods/services/technology to energy sector .
Maritime Transport of Crude Oil:  Price Cap Determination (Nov. 21, 2022; effective Dec. 5, 2022)
Prohibits US persons from providing maritime transport services for Russian crude oil purchased above $60/barrel. Services include trading/brokering, financing, shipping, insurance, flagging, customs brokering.
Maritime Transport of Petroleum Products:  Price Cap Determination (Feb. 3, 2023; effective Feb. 5, 2023)
Price cap of $45/barrel for “Discount to Crude” and $100/barrel for “Premium to Crude” petroleum products.
Petroleum Services Determination (Jan. 10, 2025; effective Feb. 27, 2025)
Prohibits petroleum services to any person in Russia. Covers exploration, drilling, well completion, production, refining, processing, storage, transportation, marketing of petroleum. Exemptions for Caspian Pipeline Consortium, Sakhalin II, Tengizchevroil.
</t>
  </si>
  <si>
    <t>E.O. 14071:  New Investment Prohibition (Apr. 6, 2022): Prohibits all new investment in Russia by US persons. 87 Fed. Reg. 20999 (Apr. 8, 2022). FAQs 1049–1055.
E.O. 14024:  Blocking Property Authority (Apr. 15, 2021; as amended): Primary authority for sector-based blocking sanctions. 86 Fed. Reg. 20249 (Apr. 19, 2021). RuHSR: 31 CFR part 587.
E.O. 14114:  Secondary Sanctions (Dec. 22, 2023): Heightened secondary sanctions risks for FFIs; expanded import bans. Amended E.O. 14024 scope.
E.O. 14065: Embargo on DPR/LPR (Feb. 21, 2022): Comprehensive sanctions on breakaway territories. 87 Fed. Reg. 10293 (Feb. 23, 2022). FAQs 999, 1007, 1009.
US Business Advisory (Feb. 23, 2024): Risks and Considerations for Doing Business in the Russian Federation and Russia-Occupied Territories of Ukraine. Issued by Departments of Commerce, Treasury, and State.
GL 6D : Agricultural/Medical Exemption: Humanitarian carve-out for agricultural commodities, medicine, medical devices across all sectors.
GL 27: NGO Activities: Humanitarian, democracy-building, educational, environmental activities by NGOs.
GL 31: Patents, Trademarks, Copyrights: IP protection transactions authorized.
GL 18: Noncommercial Personal Remittances: Authorized from/to US persons and individuals in Russia.
General Licenses under E.O. 14065: 
GL 18 (E.O. 14065): Agricultural and Medical Commodities in DPR/LPR: Authorizes exportation/reexportation of agricultural commodities, medicine, medical devices, replacement parts, software updates to DPR/LPR regions; COVID-19 prevention/treatment. Debevoise p. 37.
GL 19:  Telecommunications and Mail in DPR/LPR: Authorizes receipt/transmission of telecommunications in DPR/LPR. Does not authorize provision, sale, or lease of telecommunications equipment or capacity. Debevoise p. 37.
GL 20:  Official Business of International Organizations in DPR/LPR: Authorizes transactions by employees/grantees/contractors of: UN, ICSID, Multilateral Investment Guarantee Agency, African/Asian/European/Inter-American Development Banks, ICRC, Red Crescent Societies, OSCE. Debevoise p. 37.
GL 21: Noncommercial Personal Remittances and Accounts in DPR/LPR: Authorizes transfer of noncommercial personal remittances to/from DPR/LPR; maintaining/operating/closing individual accounts. Personal nature only; not for business. FAQ 1007. Debevoise p. 37–38.
GL 22: Internet-Based Communications Services in DPR/LPR: Authorizes exportation of services incident to personal internet communications to persons in DPR/LPR. Does not authorize services to blocked persons. FAQ 1007. Debevoise p. 38.
GL 23: NGO Activities in DPR/LPR: Authorizes transactions for humanitarian, democracy-building, educational, non-commercial development, environmental/natural resource protection activities. Debevoise p. 38.
GL 24:  Maritime Services in DPR/LPR: Authorizes civil maritime services performed by individuals ordinarily resident in DPR/LPR, provided services are performed outside the regions. Debevoise p. 38.
GL 25 (E.O. 14065):  Journalistic Activities in DPR/LPR: Authorizes transactions for US news organizations and journalists for journalistic activities in DPR/LPR regions. Debevoise p. 38.
GL 26A : Transactions Authorized Under RuHSR (effective Jan. 15, 2025): Authorizes transactions prohibited by E.O. 13662 involving blocked persons listed in GL 26A Annex that are authorized or exempt under the RuHSR. Does not authorize directive-prohibited transactions or transactions involving persons blocked under RuHSR/URSR other than those listed. Debevoise p. 39.</t>
  </si>
  <si>
    <r>
      <t xml:space="preserve">EO/Source
</t>
    </r>
    <r>
      <rPr>
        <sz val="11"/>
        <color theme="1"/>
        <rFont val="Arial"/>
        <family val="2"/>
      </rPr>
      <t>Debevoise &amp; Plimpton, “A Guide to US, UK and EU Sanctions and Export Controls on Russia and Belarus” (February 10, 2026</t>
    </r>
    <r>
      <rPr>
        <b/>
        <sz val="11"/>
        <color theme="1"/>
        <rFont val="Arial"/>
        <family val="2"/>
      </rPr>
      <t>)</t>
    </r>
  </si>
  <si>
    <t>Totals (Sum)</t>
  </si>
  <si>
    <t>GICS Sector</t>
  </si>
  <si>
    <t>Score</t>
  </si>
  <si>
    <r>
      <rPr>
        <b/>
        <sz val="9"/>
        <color theme="1"/>
        <rFont val="Aptos Narrow"/>
        <scheme val="minor"/>
      </rPr>
      <t>Restrictions</t>
    </r>
    <r>
      <rPr>
        <sz val="9"/>
        <color theme="1"/>
        <rFont val="Aptos Narrow"/>
        <family val="2"/>
        <scheme val="minor"/>
      </rPr>
      <t>:
UK Capital Market restriction expanded to all “persons connected with Russia”. This hold for shares and transfereable securities issued after March 1, 2022
Since March 1,2022 restrictions cover the provision of new loans to Russian-connected persons.
These capital market restrictions also apply to entities more than 50% owned by a person connected to Russia, though there is a general exemption for persons who were not, as of March 1, 2022, domiciled in Russia or owned by entities or persons based outside of Russia. 
Restrictions on banking relationships and processing of all currency payments to, from or via specifically designated persons or a credit or financial institution that is owned or controlled directly or indirectly by such designated person.
Restrictions prohibit provision of financial services for the purpose of foreign exchange reserve and asset management to the Central Bank of the Russian Federation, the National Wealth Fund of the Russian Federation and the Ministry of Finance of the Russian Federation. From December 14,2023, relevant firms (financial institutions) are required to inform treasury if they know or have a reasonable cause to suspect that they hold funds or economic resources of such entities.
Prohibitions on exporting banknotes denominated in sterling or any official currencies of the EU Member States to or for use in Russia.
Suspension of the Bank of England’s legislative duty to make a decision in relation to a notification of third-country resolution action in respect of a designated person or entities owned or controlled by a designated person.</t>
    </r>
    <r>
      <rPr>
        <sz val="9"/>
        <color theme="1"/>
        <rFont val="Aptos Narrow"/>
        <scheme val="minor"/>
      </rPr>
      <t xml:space="preserve">
</t>
    </r>
  </si>
  <si>
    <r>
      <rPr>
        <b/>
        <sz val="9"/>
        <color theme="1"/>
        <rFont val="Aptos Narrow"/>
        <scheme val="minor"/>
      </rPr>
      <t>Export Restrictions:</t>
    </r>
    <r>
      <rPr>
        <sz val="9"/>
        <color theme="1"/>
        <rFont val="Aptos Narrow"/>
        <family val="2"/>
        <scheme val="minor"/>
      </rPr>
      <t xml:space="preserve">
On April 20, 2023, the UK significantly expanded the list of the critical-industry goods and technologies, adding such items as rare earth metals and compounds and continuous flow reactors. The UK has also expanded the list of defense and security goods, adding various irritating chemical substances and mixtures.
On April 24, 2025, the UK further expanded the list of critical-industry goods and
technologies, adding certain vehicles, metals and plastics.
Aviation and Maritime Goods and Technology: UK trade restrictions cover aircraft, including providing associated technical assistance, financial services and brokering services. However, there is an exemption for aircraft flying out of the UK on regular scheduled services, which appears to be intended for future use for civilian passenger aircraft to be able to fly out of the UK to Russia and not be restricted as an export. The UK has also restricted Russian aircraft from entering UK airspace. Further, the UK prohibited providing technical assistance relating to aircraft and ships to a designated person, subject to certain safety exemptions. Finally, the UK prohibited the export of jet fuel and fuel additives to, or for use in, Russia. However, UK aviation-related restrictions do not include the broad EU-equivalent of ancillary overhaul inspection or parts replacement, which were sanctioned by the EU. The UK also prohibited the export of maritime goods and technology for the placing on board of Russian-flagged vessels.</t>
    </r>
  </si>
  <si>
    <r>
      <rPr>
        <b/>
        <sz val="9"/>
        <color theme="1"/>
        <rFont val="Aptos Narrow"/>
        <scheme val="minor"/>
      </rPr>
      <t>Export Restrictions:</t>
    </r>
    <r>
      <rPr>
        <sz val="9"/>
        <color theme="1"/>
        <rFont val="Aptos Narrow"/>
        <family val="2"/>
        <scheme val="minor"/>
      </rPr>
      <t xml:space="preserve">
On April 24, 2025, the UK further expanded the list of critical-industry goods and
technologies, adding certain vehicles, metals and plastics.</t>
    </r>
  </si>
  <si>
    <r>
      <rPr>
        <b/>
        <sz val="9"/>
        <color theme="1"/>
        <rFont val="Aptos Narrow"/>
        <scheme val="minor"/>
      </rPr>
      <t>Export Restrictions:</t>
    </r>
    <r>
      <rPr>
        <sz val="9"/>
        <color theme="1"/>
        <rFont val="Aptos Narrow"/>
        <family val="2"/>
        <scheme val="minor"/>
      </rPr>
      <t xml:space="preserve">
As compared to EU sanctions, the UK dual-use and critical industry trade restrictions generally mirror the EU’s trade restrictions on dual-use goods and advanced technology goods, such as manufacturing equipment for microprocessors. In addition to it, the UK prohibited the export of certain restricted military goods and technology to or for use in non-government-controlled Ukrainian territory with a
new exceptions, including for non-military use for a non-military end user and humanitarian assistance; this includes making these goods available to a person connected with or for use in non-government-controlled Ukrainian territory.
On April 24, 2025, the UK further expanded the list of critical-industry goods and
technologies, adding certain vehicles, metals and plastics.</t>
    </r>
  </si>
  <si>
    <r>
      <rPr>
        <b/>
        <sz val="9"/>
        <color theme="1"/>
        <rFont val="Aptos Narrow"/>
        <scheme val="minor"/>
      </rPr>
      <t>Export Restrictions:</t>
    </r>
    <r>
      <rPr>
        <sz val="9"/>
        <color theme="1"/>
        <rFont val="Aptos Narrow"/>
        <family val="2"/>
        <scheme val="minor"/>
      </rPr>
      <t xml:space="preserve">
The UK has also prohibited export of luxury goods to Russia or for use in Russia. This includes a prohibition on supplying luxury goods from a third country to Russia and making luxury goods available to a person connected with Russia. On December 14, 2023, the UK also prohibited the provision of technical assistance, financial services and funds, as well as brokering services, for prohibited exports of luxury goods.
On December 7, 2023, the UK National Crime Agency issued an alert423 to UK
financial sector, transportation and logistics providers to inform them of common
techniques suspected to be in use to evade sanctions on the export of high-risk
goods, which Russia is using in the battlefield in Ukraine.</t>
    </r>
  </si>
  <si>
    <r>
      <rPr>
        <b/>
        <sz val="9"/>
        <color theme="1"/>
        <rFont val="Aptos Narrow"/>
        <scheme val="minor"/>
      </rPr>
      <t>Export Restrictions:</t>
    </r>
    <r>
      <rPr>
        <sz val="9"/>
        <color theme="1"/>
        <rFont val="Aptos Narrow"/>
        <family val="2"/>
        <scheme val="minor"/>
      </rPr>
      <t xml:space="preserve">
The UK also prohibited export of oil and gas extraction and oil refining-related goods to or for use in Russia. While oil refining technologies have already been subject to this restriction,technologies relating to oil and gas extraction have been included in the scope of the restriction on April 24, 2025.419 These sanctions include a prohibition on supplying restricted goods from a third country to Russia, making them available to a person connected with Russia or transferring restricted technology to a place in Russia or to
a person connected with Russia. The prohibition also applies to the provision of related technical assistance, financial services, funds and brokering services related to these goods and technology.</t>
    </r>
  </si>
  <si>
    <r>
      <rPr>
        <b/>
        <sz val="9"/>
        <color theme="1"/>
        <rFont val="Aptos Narrow"/>
        <scheme val="minor"/>
      </rPr>
      <t>Import Restrictions:</t>
    </r>
    <r>
      <rPr>
        <sz val="9"/>
        <color theme="1"/>
        <rFont val="Aptos Narrow"/>
        <family val="2"/>
        <scheme val="minor"/>
      </rPr>
      <t xml:space="preserve"> Iron and Steel: The UK prohibited the import of iron and steel products that originate or are consigned from Russia and acquisition of such iron and steel products, directly or indirectly, regardless of whether they are meant to enter the UK. This also includes a prohibition on directly or indirectly supplying or delivering iron and steel products from a place in Russia to a third country. The UK also prohibits the provision of technical assistance, financial services and funds in relation to iron and steel products. On April 20, 2023, the UK imposed an import ban on iron and steel products processed in a third country using Russian iron or steel products. This ban came into effect on September 30, 2023. The ban includes a
prohibition on providing related technical assistance and financial and brokering services. The UK provided exception from the prohibition for the iron and steel goods lawfully imported to the UK or the Isle of Man.
On December 14, 2023, the UK expanded the list of iron and steel products to include pig iron, ferro-alloys and ferrous products. These import restrictions do not apply to goods consigned from Russia before December 15, 2023, and imported into the UK before January 14, 2023.424
Further, the UK exempted from the import restriction (i) all targeted iron and steel products that were exported from Russia before they became the target of export restrictions and that are not to be released for free circulation in the UK or Isle of The Russia (Sanctions) (EU Exit) (Amendment) 
February 10, 2026 113
Man and (ii) ancillary services in relation to iron and steel originating in Russia where those products were exported from Russia before they became banned.425</t>
    </r>
  </si>
  <si>
    <t>Import Restrictions:
Gold: The UK also prohibited the import of gold (including gold jewelry) where that gold has been exported from Russia and originates in Russia. It is also prohibited to acquire gold, directly or indirectly, where it originates in or is located in Russia with the intention of having it enter the UK. The prohibition also applies to the provision of related technical assistance, financial services, funds and brokering services
related to these goods. On November 8, 2023, the UK National Crime Agency issued an alert426 to financial institutions, gold dealers and lawyers warning that Russia is laundering sanctioned gold to mask its origin so that it can be hidden in supply chains and sold in the UK
and around the world for the purpose of circumventing sanctions. The alert describes circumvention typologies that may be used for trading in different forms of gold.
Metals: On December 14, 2023, the UK prohibited the import of metals which are consigned from Russia and the acquisition, directly or indirectly, of metals originating in or located in Russia.427 The UK also prohibited supplying or delivering such metals from a place in Russia to a third country. The prohibited metals include, among others, copper, nickel, aluminum, lead, zinc and molybdenum. The UK provided an exception from the prohibition for metals lawfully imported to the UK or the Isle of Man. The new import restriction does not apply to metals consigned from Russia before December 15, 2023, and imported into the UK before January 14, 2024. Further, the UK exempted from the import prohibition metals which were exported from Russia.
Diamonds: On December 14, 2023, the UK prohibited the import of diamonds (both natural and synthetic) and diamond jewelry which are consigned from Russia. These prohibitions include a prohibition on acquiring diamonds and diamond jewelry, directly or indirectly, which originate in or are located in Russia. The UK also prohibited supplying or delivering diamonds or diamond jewelry from a place in Russia to a third country. The prohibition applies to the provision of related technical assistance, financial services, funds and brokering services related to these
goods. The UK provided an exception from the prohibition for diamonds and diamond jewelry lawfully imported to the UK or the Isle of Man.
On March 1, 2024, the UK imposed similar import restrictions on diamonds that originate in Russia and are processed in a third country. The restrictions apply to any diamonds equal to or larger than 1 carat, starting from March 1, 2024, and to any diamonds equal to or larger than 0.5 carat, starting from September 1, 2024.429 On April 24, 2025, the UK imposed further import restrictions on synthetic diamonds of
at least 0.5 carats that were manufactured in Russia and processed in a third country. The UK imposed additional duties of 35 percentage points on a range of goods including platinum, palladium, nickel, silicon, antibiotics and more.</t>
  </si>
  <si>
    <r>
      <rPr>
        <b/>
        <sz val="9"/>
        <color theme="1"/>
        <rFont val="Aptos Narrow"/>
        <scheme val="minor"/>
      </rPr>
      <t xml:space="preserve">Import restricitons:
</t>
    </r>
    <r>
      <rPr>
        <sz val="9"/>
        <color theme="1"/>
        <rFont val="Aptos Narrow"/>
        <family val="2"/>
        <scheme val="minor"/>
      </rPr>
      <t xml:space="preserve">Coal and Coal Products, Oil and Oil Products: The UK prohibited the import of Russian oil and oil products, coal or coal products and LNG. These prohibitions
include a prohibition on acquiring these goods, directly or indirectly, where they originate in or are located in Russia with the intention of having the goods enter the UK. The prohibition also applies to the provision of related technical assistance, financial services, funds and brokering services related to these goods.
On April 20, 2023, the UK removed the prohibition on the direct or indirect supply and delivery of the oil and oil products, coal and coal products, as well as the first category of the revenue-generating goods (regardless of the origin) from a place in Russia to the UK (LNG was originally not subject to such restriction). 
</t>
    </r>
    <r>
      <rPr>
        <b/>
        <sz val="9"/>
        <color theme="1"/>
        <rFont val="Aptos Narrow"/>
        <scheme val="minor"/>
      </rPr>
      <t xml:space="preserve">Oil Price Cap:
</t>
    </r>
    <r>
      <rPr>
        <sz val="9"/>
        <color theme="1"/>
        <rFont val="Aptos Narrow"/>
        <scheme val="minor"/>
      </rPr>
      <t>The UK imposed a broadly similar Oil Price Cap as the EU. In particular, the UK prohibits maritime transportation from Russia to a third
country or between third countries of oil (from December 5, 2022) and petroleum products (from February 5, 2023), if the price per barrel exceeds the agreed price caps (i.e., $60 for oil, $45 for discount-to-crude petroleum products and $100 for premium-to-crude petroleum products).432 The UK also prohibits provision of financial services or other ancillary services relating to such maritime transportation.
On January 15, 2026, the UK reduced the crude oil price cap from $47.60 to $44.10 starting from 23:01 on January 31, 2026. Crude oil contracts signed at the previous cap of $47.60 before January 31, 2026, are subject to a 75-day wind-down period. These contracts may be fulfilled provided that the oil is offloaded at the port of destination by April 16, 2026.</t>
    </r>
  </si>
  <si>
    <t>The UK now prohibits Russian ships from entering or accessing UK ports. This prohibition applies to ships that are owned, controlled or chartered or operated by a designated person or a person connected with Russia, a ship flying the Russian flag, a ship registered in Russia or a specified ship. The UK has also imposed a ban on Russian airlines accessing UK airspace and
landing at UK airports. This ban also extends to providing insurance and reinsurance services relating to aviation, space goods or space technology to a person connected with Russia or for use in Russia. This equally applies to any aircraft owned, operated or chartered by a Russian person.
Furthermore, the UK has imposed a ban on the registration of aircraft and potential termination of registration of aircraft owned, operated or chartered by a sanctioned person.
Starting from July 31, 2024, the UK government may “specify” vessels that are involved in destabilizing Ukraine, obtaining benefits from the Russian government or circumventing sanctions by way of carrying, in the interest of Russia, dual use or
military goods, Russian oil and oil products or other goods that could contribute to destabilizing Ukraine or undermining or threatening its territorial integrity, sovereignty or independence. Such “specification” may result in a prohibition for the
“specified ship” to enter UK ports and detention of such vessel.440 In addition, Russian oil or petroleum products cannot be supplied or delivered on a “specified ship” and no financial or brokering service can be provided with respect to such
“specified ship,” even if the Russian oil that it carries meets the Oil Price Cap thresholds.</t>
  </si>
  <si>
    <t xml:space="preserve">Investment Prohibition includes the following activities:
Directly acquiring any ownership interest in land located in Russia.
Indirectly acquiring any ownership interest in land located in Russia for the purpose of making funds or economic resources available directly or indirectly to a person connected with Russia.
Directly acquiring any ownership or control in an entity connected with Russia. An entity connected with Russia means one that is established or constituted under the laws of, or domiciled in, Russia.
Indirectly acquiring any ownership or control in an entity connected with Russia for the purpose of making funds or economic resources available directly or indirectly to a person connected with Russia, or for the benefit of a person connected with Russia.
Directly or indirectly acquiring any ownership or control in an entity, other than a person connected with Russia, for the purpose of making funds or economic resources available directly or indirectly to a person connected with Russia, or for the benefit of a person connected with Russia.
Directly or indirectly establishing any joint venture with a person connected with Russia.
Opening a representative office or establishing a branch or subsidiary in Russia.
Providing investment services related to any of the above activities.
The UK prohibited the provision of accounting and auditing services to a person connected with Russia.
</t>
  </si>
  <si>
    <t xml:space="preserve">Import Sanctions:
On April 24, 2025, the UK introduced restrictions on “sectoral software and
technology,” which include: 
business enterprise software and technology, such as software for resources
planning, customer relationship management, business intelligence and supply
chain management;
industrial design software and technology, such as software for building
information modeling and computer-aided design and manufacturing software;
oil-and-gas-related software and technology, such as oil and gas exploration and
production software, reservoir simulation software, drilling and hydraulic
fracturing software and software for production management.
The UK prohibited the provision of IT consultancy and design services to a person connected with Russia.
</t>
  </si>
  <si>
    <t>On April 29, 2022, the UK imposed obligations on social media providers, internet access service providers and application store providers. Social media providers must take reasonable steps to ensure that content on their platform that has been posted or shared by a designated person is not “encountered” by a UK user. A person who provides an internet access service must take reasonable steps to prevent a UK user from accessing, by means of that service, an internet service provided by a designated person. Application store providers must now take reasonable steps to prevent UK users from downloading or otherwise accessing an internet service provided by a designated person. Furthermore, new powers have been granted to OFCOM to monitor compliance with the two restrictions above and to impose fines; it is an offense for someone to refuse to comply with an OFCOM request related to this monitoring or to otherwise obstruct or provide false information.
The UK prohibited the provision of advertising services and public relations services to a person connected with Russia.</t>
  </si>
  <si>
    <r>
      <t xml:space="preserve">G7 Dependency and Russia’s Vulnerable Goods: The UK prohibited the export of “G7 dependency and further goods” and “Russia’s vulnerable goods” to or for use in Russia, as well as supply or delivery of such items from a third country to a place in Russia or to a person connected with Russia. These goods include a wide range of items and are listed in Schedules 3E and 3I of the Russia (Sanctions) (EU Exit) Regulations 2019. On April 20, 2023, the list of “G7 dependency and further goods” was further expanded to add certain iron and steel products, coal, coke and semi-coke of coal, peat, glass, certain motors, engines, machinery and pumps. The UK also expanded the list of “Russia’s vulnerable goods,” adding a wide range of machinery, containers and electronics. 
Starting from April 24, 2025, the UK also prohibits the transfer of “G7 dependencyand further technology” and “Russia’s vulnerable technology” to a place in Russia or to a person connected with Russia. The prohibition also applies to the provision of
related technical assistance, financial services, funds and brokering services related to these goods and technology.
On April 24, 2025, the UK also expanded the lists of “Russia’s vulnerable goods and technology” and “G7 dependency goods and technology” by adding various chemicals, electronics and machinery.
</t>
    </r>
    <r>
      <rPr>
        <b/>
        <sz val="10"/>
        <color theme="1"/>
        <rFont val="Aptos Narrow"/>
        <scheme val="minor"/>
      </rPr>
      <t>Import Bans:</t>
    </r>
    <r>
      <rPr>
        <sz val="10"/>
        <color theme="1"/>
        <rFont val="Aptos Narrow"/>
        <family val="2"/>
        <scheme val="minor"/>
      </rPr>
      <t xml:space="preserve"> Revenue-Generating Goods: The UK prohibited the import of revenue-generating goods that originate in, or are consigned from, or located in, Russia. On April 20,
2023, the UK substantially restructured the prohibition and divided the revenue- generating goods into two categories: (i) revenue-generating goods that are prohibited from being 
imported into the UK (the pre-existing list with significant expansions) and (ii) a new list of revenue-generating goods, which are prohibited from being supplied both to the UK and to any third country. 
The ban also prohibits the provision of technical assistance, financial services and funds and brokering services relating to revenue-generating goods. The second category of the revenue-generating goods 
has brought the UK sanctions closer to the scope of similar EU sanctions. The UK has also introduced an exception from these trade sanctions for the second category of revenue-generating goods, if they were lawfully imported
 to the UK or the Isle of Man or if they are located in Russia and are used by the UK person or their immediate family members for a personal purpose.
The UK prohibited the provision of business and management consulting services and legal advisory services to a person connected with Russia.</t>
    </r>
  </si>
  <si>
    <t>Investment Prohibition includes the following activities:
Directly acquiring any ownership interest in land located in Russia.</t>
  </si>
  <si>
    <t>Column2</t>
  </si>
  <si>
    <t>EU</t>
  </si>
  <si>
    <t>US</t>
  </si>
  <si>
    <t>UK</t>
  </si>
  <si>
    <t>Grade</t>
  </si>
  <si>
    <t xml:space="preserve">The sector is  broadly untouched by direct trade or financial embargoes. Firms in these sectors face minimal  sanction exposure. </t>
  </si>
  <si>
    <t xml:space="preserve">Low Sanction Risk </t>
  </si>
  <si>
    <t xml:space="preserve">Medium Sanctions Risk </t>
  </si>
  <si>
    <t xml:space="preserve">High Sanctions Risk </t>
  </si>
  <si>
    <t>EU GICS Sector</t>
  </si>
  <si>
    <t>Sum</t>
  </si>
  <si>
    <t>Rating</t>
  </si>
  <si>
    <t>Country</t>
  </si>
  <si>
    <t>United States</t>
  </si>
  <si>
    <t>United Kingdom</t>
  </si>
  <si>
    <t>Germany</t>
  </si>
  <si>
    <t>AMBARELLA INC</t>
  </si>
  <si>
    <t xml:space="preserve">AMDOCS </t>
  </si>
  <si>
    <t>Finland</t>
  </si>
  <si>
    <t>COESIA S.P.A.</t>
  </si>
  <si>
    <t/>
  </si>
  <si>
    <t>Italy</t>
  </si>
  <si>
    <t>AGRANA</t>
  </si>
  <si>
    <t>Austria</t>
  </si>
  <si>
    <t>ALUMIL ALUMINIUM INDUSTRY S.A.</t>
  </si>
  <si>
    <t>Greece</t>
  </si>
  <si>
    <t>BABOLAT</t>
  </si>
  <si>
    <t>France</t>
  </si>
  <si>
    <t>BOGGI &amp; C. S.R.L.</t>
  </si>
  <si>
    <t>BUZZI UNICEM S.P.A.</t>
  </si>
  <si>
    <t>CALZEDONIA S.P.A.</t>
  </si>
  <si>
    <t>CLARINS SA</t>
  </si>
  <si>
    <t>COFACE SA</t>
  </si>
  <si>
    <t>CREMONINI SOCIETA' PER AZIONI ABBREVIABILE IN CREMONINI S.P.A.</t>
  </si>
  <si>
    <t>DE CECCO S.R.L.</t>
  </si>
  <si>
    <t>DESSANGE INTERNATIONAL</t>
  </si>
  <si>
    <t>DIESEL-S.P.A.</t>
  </si>
  <si>
    <t>DINEX A/S</t>
  </si>
  <si>
    <t>Denmark</t>
  </si>
  <si>
    <t>DUOL INZENIRING D.O.O.</t>
  </si>
  <si>
    <t>Slovenia</t>
  </si>
  <si>
    <t>EGGER GMBH</t>
  </si>
  <si>
    <t>ELVALHALCOR HELLENIC COPPER AND ALUMINIUM INDUSTRY S.A</t>
  </si>
  <si>
    <t>ETAM</t>
  </si>
  <si>
    <t>FONDITAL SPA</t>
  </si>
  <si>
    <t>FORACO</t>
  </si>
  <si>
    <t>FRIGOGLASS S.A.I.C.</t>
  </si>
  <si>
    <t>GEOPLIN D.O.O. LJUBLJANA, DRUZBA ZA TRGOVANJE Z ZEMELJSKIM PLINOM</t>
  </si>
  <si>
    <t>no match</t>
  </si>
  <si>
    <t>JEAN CACHAREL SA</t>
  </si>
  <si>
    <t>KLEEMANN HELLAS S.A.</t>
  </si>
  <si>
    <t>KOTANYI GMBH</t>
  </si>
  <si>
    <t>KRKA DD NOVO MESTO</t>
  </si>
  <si>
    <t>LA REDOUTE</t>
  </si>
  <si>
    <t>LACOSTE FRANCE</t>
  </si>
  <si>
    <t>LISEC AUSTRIA GMBH</t>
  </si>
  <si>
    <t>LUKA KOPER D.D.</t>
  </si>
  <si>
    <t>MAXAM</t>
  </si>
  <si>
    <t>Spain</t>
  </si>
  <si>
    <t>OCSIAL GROUP S.A.</t>
  </si>
  <si>
    <t>Luxembourg</t>
  </si>
  <si>
    <t>ORANO</t>
  </si>
  <si>
    <t>PERFETTI VAN MELLE S.P.A.</t>
  </si>
  <si>
    <t>PLASTIKA KRITIS INDUSTRIAL &amp; COMMERCIAL COMPANY</t>
  </si>
  <si>
    <t>RABA AUTOMOTIVE HOLDING PLC.</t>
  </si>
  <si>
    <t>Hungary</t>
  </si>
  <si>
    <t>RIKO, CELOVITE TEHNOLOSKE RESITVE, D.O.O.</t>
  </si>
  <si>
    <t>RUSSIA FRACHSPEDITION DR. LASSMANN GES. M. B. H. Z SIEDZIBA W WIEDNIU</t>
  </si>
  <si>
    <t>SANATMETAL ORTOPEDIAI ES TRAUMATOLOGIAI ESZKOZOKET GYARTO KORLATOLT FELELOSSEGU TARSASAG</t>
  </si>
  <si>
    <t>SCHOELLER-BLECKMANN GESELLSCHAFT M.B.H.</t>
  </si>
  <si>
    <t>SOCIETE BIC</t>
  </si>
  <si>
    <t>SOLER &amp; PALAU VENTILATION GROUP SL</t>
  </si>
  <si>
    <t>SUCRES ET DENREES</t>
  </si>
  <si>
    <t>TRELLEBORG ERSMARK AB</t>
  </si>
  <si>
    <t>Sweden</t>
  </si>
  <si>
    <t>VEOLIA</t>
  </si>
  <si>
    <t>VINCI</t>
  </si>
  <si>
    <t>WORLDLINE</t>
  </si>
  <si>
    <t>AALBERTS N.V.</t>
  </si>
  <si>
    <t>Netherlands</t>
  </si>
  <si>
    <t>ACCOR</t>
  </si>
  <si>
    <t>ACCUMALUX</t>
  </si>
  <si>
    <t>AIRBUS SE</t>
  </si>
  <si>
    <t>AKRAPOVIC, PODJETJE ZA PROIZVODNJO, TRGOVINO IN STORITVE, D.D.</t>
  </si>
  <si>
    <t>ANDRITZ AG</t>
  </si>
  <si>
    <t>ANECOOP S.COOP.</t>
  </si>
  <si>
    <t>BOIRON</t>
  </si>
  <si>
    <t>CAMPARI SOCIETA' SEMPLICE AGRICOLA</t>
  </si>
  <si>
    <t>CANPACK S.A.</t>
  </si>
  <si>
    <t>Poland</t>
  </si>
  <si>
    <t>CORTICEIRA AMORIM SGPS S.A.</t>
  </si>
  <si>
    <t>Portugal</t>
  </si>
  <si>
    <t>DECEUNINCK NV</t>
  </si>
  <si>
    <t>Belgium</t>
  </si>
  <si>
    <t>DELONGHI SPA</t>
  </si>
  <si>
    <t>ENGIE</t>
  </si>
  <si>
    <t>GEDEON RICHTER PLC</t>
  </si>
  <si>
    <t>GEOX SPA</t>
  </si>
  <si>
    <t>GIORGIO ARMANI S.P.A.</t>
  </si>
  <si>
    <t>GROUPE SEB FRANCE</t>
  </si>
  <si>
    <t>HELLENIC PETROLEUM SINGLE-MEMBER SOCIETE ANONYME</t>
  </si>
  <si>
    <t>HERZ AUSTRIA GESELLSCHAFT M.B.H.</t>
  </si>
  <si>
    <t>ING BANK NV</t>
  </si>
  <si>
    <t>INTESA SANPAOLO S.P.A.</t>
  </si>
  <si>
    <t>IPSEN</t>
  </si>
  <si>
    <t>JDE PEET'S N.V.</t>
  </si>
  <si>
    <t>KUBICEK VHS, S.R.O.</t>
  </si>
  <si>
    <t>Czech Republic</t>
  </si>
  <si>
    <t>LES LABORATOIRES SERVIER</t>
  </si>
  <si>
    <t>LOULIS FOOD INGREDIENTS S.A.</t>
  </si>
  <si>
    <t>MELAMIN D.D.</t>
  </si>
  <si>
    <t>MENARINI &amp; C. S.R.L.</t>
  </si>
  <si>
    <t>NOVO NORDISK A/S</t>
  </si>
  <si>
    <t>OMV AKTIENGESELLSCHAFT</t>
  </si>
  <si>
    <t>PALFINGER AG</t>
  </si>
  <si>
    <t>PHILIPS NEDERLAND B.V.</t>
  </si>
  <si>
    <t>POLPHARM SP. Z O.O.</t>
  </si>
  <si>
    <t>POETTINGER KG</t>
  </si>
  <si>
    <t>RED BULL GMBH</t>
  </si>
  <si>
    <t>RHI MAGNESITA GMBH</t>
  </si>
  <si>
    <t>ROCKWOOL A/S</t>
  </si>
  <si>
    <t>SAIPEM SPA</t>
  </si>
  <si>
    <t>SANOFI</t>
  </si>
  <si>
    <t>SARENS</t>
  </si>
  <si>
    <t>SIGNIFY N.V.</t>
  </si>
  <si>
    <t>SOUDAL</t>
  </si>
  <si>
    <t>TMF GROUP B.V.</t>
  </si>
  <si>
    <t>TOSHULIN, A.S.</t>
  </si>
  <si>
    <t>TOTALENERGIES MARKETING REUNION</t>
  </si>
  <si>
    <t>TZMO SA</t>
  </si>
  <si>
    <t>WELLTEC A/S</t>
  </si>
  <si>
    <t>LABORATOIRES DE BIOLOGIE VEGETALE YVES ROCHER</t>
  </si>
  <si>
    <t>AKZO NOBEL NV</t>
  </si>
  <si>
    <t>AMADEUS IT GROUP, S.A.</t>
  </si>
  <si>
    <t>ARCELORMITTAL SA</t>
  </si>
  <si>
    <t>ATLAS COPCO AB</t>
  </si>
  <si>
    <t>BANK OF CYPRUS PUBLIC COMPANY LIMITED</t>
  </si>
  <si>
    <t>Cyprus</t>
  </si>
  <si>
    <t>NV BEKAERT SA</t>
  </si>
  <si>
    <t>BLACK RED WHITE S.A.</t>
  </si>
  <si>
    <t>BONDUELLE</t>
  </si>
  <si>
    <t>BUREAU VERITAS</t>
  </si>
  <si>
    <t>CERSANIT S.A.</t>
  </si>
  <si>
    <t>CHR. HANSEN A/S</t>
  </si>
  <si>
    <t>COLOPLAST A/S</t>
  </si>
  <si>
    <t>ESAB AKTIEBOLAG</t>
  </si>
  <si>
    <t>EUTELSAT SA</t>
  </si>
  <si>
    <t>FISCHER SPORTS GMBH</t>
  </si>
  <si>
    <t>GEODIS</t>
  </si>
  <si>
    <t>BPCE SA</t>
  </si>
  <si>
    <t>HELLENIC BOTTLING CO</t>
  </si>
  <si>
    <t>INDESIT SPA</t>
  </si>
  <si>
    <t>INTERTRUST N.V.</t>
  </si>
  <si>
    <t>J&amp;T FINANCE GROUP, A.S.</t>
  </si>
  <si>
    <t>Slovakia</t>
  </si>
  <si>
    <t>KEYWORDS STUDIOS UNLIMITED COMPANY</t>
  </si>
  <si>
    <t>Ireland</t>
  </si>
  <si>
    <t>LOTOS SP. Z O.O.</t>
  </si>
  <si>
    <t>LUXOTTICA S.R.L.</t>
  </si>
  <si>
    <t>MIRO B.V.</t>
  </si>
  <si>
    <t>OTP BANK NYRT. DOLGOZOINAK SZAKSZERVEZETE</t>
  </si>
  <si>
    <t>SOCIETE ANONYME PAUL WURTH</t>
  </si>
  <si>
    <t>PIRELLI &amp; C. SPA</t>
  </si>
  <si>
    <t>ORLEN NEPTUN SP. Z O.O.</t>
  </si>
  <si>
    <t>ROSENBAUER OESTERREICH GESELLSCHAFT M.B.H.</t>
  </si>
  <si>
    <t>COMPAGNIE DE SAINT-GOBAIN</t>
  </si>
  <si>
    <t>SHV NEDERLAND B.V.</t>
  </si>
  <si>
    <t>SKODA A.S.</t>
  </si>
  <si>
    <t>TKH SECURITY B.V.</t>
  </si>
  <si>
    <t>ZAVAROVALNICA TRIGLAV DD</t>
  </si>
  <si>
    <t>TUNGSRAM</t>
  </si>
  <si>
    <t>VALENTINO S.P.A.</t>
  </si>
  <si>
    <t>WOLTERS KLUWER NV</t>
  </si>
  <si>
    <t>ACNE STUDIOS AB</t>
  </si>
  <si>
    <t>ADAMED SP. Z O.O.</t>
  </si>
  <si>
    <t>SOCIETE AIR FRANCE</t>
  </si>
  <si>
    <t>AIR MALTA P.L.C.</t>
  </si>
  <si>
    <t>Malta</t>
  </si>
  <si>
    <t>ALSTOM S.A</t>
  </si>
  <si>
    <t>AMICA S.A</t>
  </si>
  <si>
    <t>AUSTRIAN AIRLINES AG</t>
  </si>
  <si>
    <t>"AVAST, SPOL. S R.O.""V LIKVIDACI"""</t>
  </si>
  <si>
    <t>AXA INVESTMENT MANAGERS</t>
  </si>
  <si>
    <t>B-LAB INC.</t>
  </si>
  <si>
    <t>BANG &amp; OLUFSEN A/S</t>
  </si>
  <si>
    <t>BITDEFENDER SRL</t>
  </si>
  <si>
    <t>Romania</t>
  </si>
  <si>
    <t>BNP PARIBAS</t>
  </si>
  <si>
    <t>BORYSZEW S.A.</t>
  </si>
  <si>
    <t>BULGARIA AIR</t>
  </si>
  <si>
    <t>Bulgaria</t>
  </si>
  <si>
    <t>CAPGEMINI</t>
  </si>
  <si>
    <t>CERATIZIT LUXEMBOURG S.A R.L.</t>
  </si>
  <si>
    <t>CIE AUTOMOTIVE S.A.</t>
  </si>
  <si>
    <t>CREDIT AGRICOLE SA</t>
  </si>
  <si>
    <t>CRITEO</t>
  </si>
  <si>
    <t>CYPRUS AIRWAYS PUBLIC LIMITED</t>
  </si>
  <si>
    <t>DANONE</t>
  </si>
  <si>
    <t>DANSKE BANK A/S</t>
  </si>
  <si>
    <t>DASSAULT AVIATION</t>
  </si>
  <si>
    <t>DASSAULT SYSTEMES</t>
  </si>
  <si>
    <t>DECATHLON</t>
  </si>
  <si>
    <t>DEMANT A/S</t>
  </si>
  <si>
    <t>DIADORA S.P.A.</t>
  </si>
  <si>
    <t>EDREAMS ODIGEO S.A.</t>
  </si>
  <si>
    <t>ELSEVIER B.V.</t>
  </si>
  <si>
    <t>EPIROC AB</t>
  </si>
  <si>
    <t>ERICSSON AB</t>
  </si>
  <si>
    <t>ESET, SPOL. S R.O.</t>
  </si>
  <si>
    <t>ETEX N.V.</t>
  </si>
  <si>
    <t>EURASIAN RESOURCES GROUP</t>
  </si>
  <si>
    <t>EXOR N.V.</t>
  </si>
  <si>
    <t>FAMUR S.A.</t>
  </si>
  <si>
    <t>SALVATORE FERRAGAMO SPA</t>
  </si>
  <si>
    <t>FERRARI-SOCIETA'PER AZIONI ESERCIZIO FABBRICHE AUTOMOBILI E CORSE O SEMPLICEMENTE: FERRARI S.P.A.</t>
  </si>
  <si>
    <t>FLUIDRA S.A.</t>
  </si>
  <si>
    <t>GANNI A/S</t>
  </si>
  <si>
    <t>GESTAMP LINARES SA</t>
  </si>
  <si>
    <t>GRAPHISOFT MUSZAKI-FEJLESZTO KORLATOLT FELELOSSEGU TARSASAG</t>
  </si>
  <si>
    <t>GRUPA AZOTY S.A.</t>
  </si>
  <si>
    <t>GRUPO ANTOLIN-IRAUSA SA</t>
  </si>
  <si>
    <t>HERMES SELLIER</t>
  </si>
  <si>
    <t>HEXAGON AB</t>
  </si>
  <si>
    <t>HUNKEMOLLER B.V.</t>
  </si>
  <si>
    <t>HUSQVARNA AB</t>
  </si>
  <si>
    <t>IBERIA</t>
  </si>
  <si>
    <t>ICECAT N.V.</t>
  </si>
  <si>
    <t>INTERCOMM FOODS S.A. PROCESSING PACKING AND TRADING OF AGRICULTURAL PRODUCTS</t>
  </si>
  <si>
    <t>JABLOTRON A.S.</t>
  </si>
  <si>
    <t>JOHNSON CONTROLS</t>
  </si>
  <si>
    <t>KBC GROEP NV/ KBC GROUPE SA</t>
  </si>
  <si>
    <t>KERING</t>
  </si>
  <si>
    <t>KERRY GROUP PLC</t>
  </si>
  <si>
    <t>KGHM S.A.</t>
  </si>
  <si>
    <t>KLM ROYAL DUTCH AIRLINES NV</t>
  </si>
  <si>
    <t>KRONOSPAN VERWALTUNGS- UND BETEILIGUNGSGESELLSCHAFT MBH</t>
  </si>
  <si>
    <t>UAB KUROKESU</t>
  </si>
  <si>
    <t>Lithuania</t>
  </si>
  <si>
    <t>L'OREAL</t>
  </si>
  <si>
    <t>LA LORRAINE NINOVE</t>
  </si>
  <si>
    <t>LEGO A/S</t>
  </si>
  <si>
    <t>LEONARDO S.P.A.</t>
  </si>
  <si>
    <t>LLADRO SAU</t>
  </si>
  <si>
    <t>LOUIS DREYFUS HOLDING B.V.</t>
  </si>
  <si>
    <t>MAGNA STEYR GMBH &amp; CO KG</t>
  </si>
  <si>
    <t>MANGO C.B.</t>
  </si>
  <si>
    <t>MILK HYDROSAN SP. Z O.O.</t>
  </si>
  <si>
    <t>ELEKON, S.R.O.</t>
  </si>
  <si>
    <t>MONCLER S.P.A.</t>
  </si>
  <si>
    <t>UAB MV GROUP</t>
  </si>
  <si>
    <t>MVRDV B.V.</t>
  </si>
  <si>
    <t>NOZBE SP. Z O.O.</t>
  </si>
  <si>
    <t>NXP SEMICONDUCTORS N.V</t>
  </si>
  <si>
    <t>PEKAO S.A.</t>
  </si>
  <si>
    <t>PERNOD RICARD</t>
  </si>
  <si>
    <t>PLZENSKY PRAZDROJ, A. S.</t>
  </si>
  <si>
    <t>PODRAVKA D.D.</t>
  </si>
  <si>
    <t>Croatia</t>
  </si>
  <si>
    <t>PRADA S.P.A.</t>
  </si>
  <si>
    <t>PROSUS NV</t>
  </si>
  <si>
    <t>QLIKTECH INTERNATIONAL AB</t>
  </si>
  <si>
    <t>COOPERATIEVE RABOBANK PEIZE UA</t>
  </si>
  <si>
    <t>RADIO FREE EUROPE</t>
  </si>
  <si>
    <t>TRADICNI PIVOVAR V RAKOVNIKU, A.S.</t>
  </si>
  <si>
    <t>THE ROYAL SOCIETY OF CHEMISTRY</t>
  </si>
  <si>
    <t>SAFRAN</t>
  </si>
  <si>
    <t>SAMSONITE INTERNATIONAL S.A.</t>
  </si>
  <si>
    <t>SANDVIK AB</t>
  </si>
  <si>
    <t>SARDINA D.O.O.</t>
  </si>
  <si>
    <t>SCANDINAVIAN TOBACCO GROUP A/S</t>
  </si>
  <si>
    <t>SCANIA AKTIEBOLAG</t>
  </si>
  <si>
    <t>SIGMA GROUP A.S.</t>
  </si>
  <si>
    <t>SKYTRAX LIMITED</t>
  </si>
  <si>
    <t>SODECA SLU</t>
  </si>
  <si>
    <t>SOLVAY SA</t>
  </si>
  <si>
    <t>SPOTIFY AB</t>
  </si>
  <si>
    <t>SSAB AB</t>
  </si>
  <si>
    <t>STELLANTIS N.V.</t>
  </si>
  <si>
    <t>STORYTEL AB</t>
  </si>
  <si>
    <t>SWECO AB</t>
  </si>
  <si>
    <t>SYSTEMAIR AB</t>
  </si>
  <si>
    <t>T MACHINERY A.S.</t>
  </si>
  <si>
    <t>TALGO S.A.</t>
  </si>
  <si>
    <t>TANIN SEVNICA KEMICNA INDUSTRIJA D.D.</t>
  </si>
  <si>
    <t>TENDAM RETAIL SA.</t>
  </si>
  <si>
    <t>THE NAVIGATOR COMPANY S.A.</t>
  </si>
  <si>
    <t>TOMTOM N.V.</t>
  </si>
  <si>
    <t>TORM A/S</t>
  </si>
  <si>
    <t>TOUS VALENCIA SL.</t>
  </si>
  <si>
    <t>TTC HOLDING, A.S.</t>
  </si>
  <si>
    <t>UBISOFT BORDEAUX</t>
  </si>
  <si>
    <t>UNIVERSAL MUSIC GROUP N.V.</t>
  </si>
  <si>
    <t>VATTENFALL AB</t>
  </si>
  <si>
    <t>VOLVO CAR AB</t>
  </si>
  <si>
    <t>WIELTON SA</t>
  </si>
  <si>
    <t>WIMBLEDON LIMITED</t>
  </si>
  <si>
    <t>WIZZ AIR HUNGARY ZRT.</t>
  </si>
  <si>
    <t>THE WORLD FEDERATION OF EXCHANGES LIMITED</t>
  </si>
  <si>
    <t>P.P.U.H. WOSEBA SP. Z O.O.</t>
  </si>
  <si>
    <t>YOOX NET-A-PORTER GROUP S.P.A. O, IN FORMA ABBREVIATA, YNAP S.P.A.</t>
  </si>
  <si>
    <t>ZABKA POLSKA SP. Z O.O.</t>
  </si>
  <si>
    <t>AAK AB</t>
  </si>
  <si>
    <t>PER AARSLEFF HOLDING AS</t>
  </si>
  <si>
    <t>ACCENTURE PLC</t>
  </si>
  <si>
    <t>ACERINOX SA</t>
  </si>
  <si>
    <t>AEGON NEDERLAND N.V.</t>
  </si>
  <si>
    <t>AFRY AB</t>
  </si>
  <si>
    <t>UAB AGROKONCERNAS</t>
  </si>
  <si>
    <t>L'AIR LIQUIDE SOCIETE ANONYME POUR L'ETUDE ET L'EXPLOITATION DES PROCEDES GEORGES CLAUDE</t>
  </si>
  <si>
    <t>AIR BALTIC CORPORATION AS</t>
  </si>
  <si>
    <t>Latvia</t>
  </si>
  <si>
    <t>ALLEGRO SP. Z O.O.</t>
  </si>
  <si>
    <t>AMREST HOLDINGS S.E.</t>
  </si>
  <si>
    <t>AP7  AKTIEFOND</t>
  </si>
  <si>
    <t>APG B.V.</t>
  </si>
  <si>
    <t>ARENDT &amp; MEDERNACH</t>
  </si>
  <si>
    <t>ASSICURAZIONI GENERALI SPA</t>
  </si>
  <si>
    <t>ATOS SE</t>
  </si>
  <si>
    <t>AUTOGRILL SPA</t>
  </si>
  <si>
    <t>AVL GMBH</t>
  </si>
  <si>
    <t>BAKOMA SP. Z O.O.</t>
  </si>
  <si>
    <t>BASETRACK OU</t>
  </si>
  <si>
    <t>Estonia</t>
  </si>
  <si>
    <t>BESTSELLER A/S</t>
  </si>
  <si>
    <t>BIOMAR GROUP A/S</t>
  </si>
  <si>
    <t>BLOCKCHAIN.COM GROUP HOLDINGS, INC.</t>
  </si>
  <si>
    <t>BOLT UU</t>
  </si>
  <si>
    <t>BONAVA AB</t>
  </si>
  <si>
    <t>BOSKALIS NEDERLAND B.V.</t>
  </si>
  <si>
    <t>CD PROJEKT S.A.</t>
  </si>
  <si>
    <t>CFA INSTITUTE</t>
  </si>
  <si>
    <t>CHANEL</t>
  </si>
  <si>
    <t>COLUMBUS A/S</t>
  </si>
  <si>
    <t>COMARCH SA</t>
  </si>
  <si>
    <t>CRH PLC</t>
  </si>
  <si>
    <t>CYFROWY POLSAT SA</t>
  </si>
  <si>
    <t>DANFOSS A/S</t>
  </si>
  <si>
    <t>DEEZER</t>
  </si>
  <si>
    <t>DINO POLSKA S.A.</t>
  </si>
  <si>
    <t>DP EURASIA B.V.</t>
  </si>
  <si>
    <t>ELISA OYJ</t>
  </si>
  <si>
    <t>ENEL SPA</t>
  </si>
  <si>
    <t>ENI S.P.A.</t>
  </si>
  <si>
    <t>ESPERSEN</t>
  </si>
  <si>
    <t>ESSITY AKTIEBOLAG (PUBL)</t>
  </si>
  <si>
    <t>EUROVISION</t>
  </si>
  <si>
    <t>FLSMIDTH A/S</t>
  </si>
  <si>
    <t>FUGRO N.V.</t>
  </si>
  <si>
    <t>GALPGESTE - GESTAO DE AREAS DE SERVICO, UNIPESSOAL, LDA</t>
  </si>
  <si>
    <t>UAB GAME INSIGHT</t>
  </si>
  <si>
    <t>GAMELOFT SE</t>
  </si>
  <si>
    <t>GAZ SYSTEMS SP. Z O.O.</t>
  </si>
  <si>
    <t>GLOBAL FASHION GROUP S.A</t>
  </si>
  <si>
    <t>GOODVALLEY A/S</t>
  </si>
  <si>
    <t>GRUNDFOS A/S</t>
  </si>
  <si>
    <t>HEINEKEN N.V.</t>
  </si>
  <si>
    <t>HEMPEL A/S</t>
  </si>
  <si>
    <t>HOME CREDIT A.S.</t>
  </si>
  <si>
    <t>HORTEX SP. Z O.O.</t>
  </si>
  <si>
    <t>HOSTINGER, UAB</t>
  </si>
  <si>
    <t>HOUTHOF</t>
  </si>
  <si>
    <t>ICOSAGEN AS</t>
  </si>
  <si>
    <t>ID LOGISTICS FRANCE</t>
  </si>
  <si>
    <t>IKEA OF SWEDEN AB</t>
  </si>
  <si>
    <t>IMCD N.V.</t>
  </si>
  <si>
    <t>INCOFF AEROSPACE S.R.O.</t>
  </si>
  <si>
    <t>INDUSTRIA DE DISENO TEXTIL S.A.</t>
  </si>
  <si>
    <t>INPOST SP. Z O.O.</t>
  </si>
  <si>
    <t>DIE INTERNATIONALE BIATHLON UNION (IBU)</t>
  </si>
  <si>
    <t>INTRACOM S.A. TELECOM SOLUTIONS</t>
  </si>
  <si>
    <t>ISS A/S</t>
  </si>
  <si>
    <t>JAN DE NUL LUXEMBOURG S.A.</t>
  </si>
  <si>
    <t>JYSK A/S</t>
  </si>
  <si>
    <t>AB KALNAPILIS</t>
  </si>
  <si>
    <t>KAMSTRUP A/S</t>
  </si>
  <si>
    <t>KINGSPAN LIMITED</t>
  </si>
  <si>
    <t>LEGRAND</t>
  </si>
  <si>
    <t>LEPTOS ESTATES LIMITED</t>
  </si>
  <si>
    <t>LINDAB AB</t>
  </si>
  <si>
    <t>LVMH MOET HENNESSY LOUIS VUITTON</t>
  </si>
  <si>
    <t>LYONDELLBASELL INDUSTRIES N.V.</t>
  </si>
  <si>
    <t>MAERSK A/S</t>
  </si>
  <si>
    <t>MAKROCHEM S.A.</t>
  </si>
  <si>
    <t>MANNHEIMER SWARTLING ADVOKATBYRAA AKTIEBOLAG</t>
  </si>
  <si>
    <t>MAXIMA GRUPE, UAB</t>
  </si>
  <si>
    <t>NCAB GROUP AB (PUBL)</t>
  </si>
  <si>
    <t>ORSTED A/S</t>
  </si>
  <si>
    <t>PANDORA A/S</t>
  </si>
  <si>
    <t>PAYSERA LT , UAB</t>
  </si>
  <si>
    <t>STICHTING BEDRIJFSTAKPENSIOENFONDS VOOR DE DETAILHANDEL</t>
  </si>
  <si>
    <t>STICHTING PENSIOENFONDS ZORG EN WELZIJN</t>
  </si>
  <si>
    <t>PKO BP S.A. AGENCJA</t>
  </si>
  <si>
    <t>PME PENSIOENFONDS</t>
  </si>
  <si>
    <t>POLSKIE GORNICTWO NAFTOWE I GAZOWNICTWO SA</t>
  </si>
  <si>
    <t>PRIO - SGPS, S.A.</t>
  </si>
  <si>
    <t>PUBLICIS GROUPE S A</t>
  </si>
  <si>
    <t>POWSZECHNY ZAKLAD UBEZPIECZEN S.A.</t>
  </si>
  <si>
    <t>RENAULT</t>
  </si>
  <si>
    <t>REPSOL SA.</t>
  </si>
  <si>
    <t>SIA RIMI LATVIA</t>
  </si>
  <si>
    <t>SCHNEIDER ELECTRIC SE</t>
  </si>
  <si>
    <t>AB SKF</t>
  </si>
  <si>
    <t>SMAY SP. Z O.O.</t>
  </si>
  <si>
    <t>SMURFIT KAPPA GROUP LIMITED</t>
  </si>
  <si>
    <t>SOCIETE GENERALE</t>
  </si>
  <si>
    <t>SODEXO</t>
  </si>
  <si>
    <t>STRABAG SE</t>
  </si>
  <si>
    <t>SVENSKA HANDELSBANKEN AB</t>
  </si>
  <si>
    <t>SYSTEMBOLAGET AKTIEBOLAG</t>
  </si>
  <si>
    <t>TDZ TURN S.R.O.</t>
  </si>
  <si>
    <t>TECHNIP ENERGIES FRANCE</t>
  </si>
  <si>
    <t>TEKNOTHERM MARINE HVAC SP. Z O.O.</t>
  </si>
  <si>
    <t>TELEPERFORMANCE FRANCE</t>
  </si>
  <si>
    <t>AKTIEBOLAGET TETRA PAK</t>
  </si>
  <si>
    <t>TRANE TECHNOLOGIES PLC</t>
  </si>
  <si>
    <t>VALEO</t>
  </si>
  <si>
    <t>VAN OORD N.V.</t>
  </si>
  <si>
    <t>VELUX A/S</t>
  </si>
  <si>
    <t>VEON</t>
  </si>
  <si>
    <t>VESTAS WIND SYSTEMS A/S</t>
  </si>
  <si>
    <t>AB VOLFAS ENGELMAN</t>
  </si>
  <si>
    <t>WIENERBERGER AG</t>
  </si>
  <si>
    <t>WOMENS TENNIS ASSOCIATION</t>
  </si>
  <si>
    <t>WORLD BOXING ORGANIZATION</t>
  </si>
  <si>
    <t>High</t>
  </si>
  <si>
    <t>Medium</t>
  </si>
  <si>
    <t>Low</t>
  </si>
  <si>
    <t>Exposure</t>
  </si>
  <si>
    <t>Region</t>
  </si>
  <si>
    <t>Sanction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</si>
</sst>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2"/>
      <color theme="1"/>
      <name val="Aptos Narrow"/>
      <family val="2"/>
      <scheme val="minor"/>
    </font>
    <font>
      <sz val="12"/>
      <color theme="1"/>
      <name val="Aptos Narrow"/>
      <family val="2"/>
      <scheme val="minor"/>
    </font>
    <font>
      <sz val="10"/>
      <name val="Arial"/>
      <family val="2"/>
    </font>
    <font>
      <sz val="9"/>
      <name val="Arial"/>
      <family val="2"/>
    </font>
    <font>
      <b/>
      <sz val="11"/>
      <color theme="1"/>
      <name val="Arial"/>
      <family val="2"/>
    </font>
    <font>
      <b/>
      <i/>
      <sz val="10"/>
      <name val="Arial"/>
      <family val="2"/>
    </font>
    <font>
      <sz val="9"/>
      <color theme="1"/>
      <name val="Arial"/>
      <family val="2"/>
    </font>
    <font>
      <sz val="8"/>
      <name val="Arial"/>
      <family val="2"/>
    </font>
    <font>
      <sz val="10"/>
      <color theme="1"/>
      <name val="Aptos Narrow"/>
      <family val="2"/>
      <scheme val="minor"/>
    </font>
    <font>
      <sz val="9"/>
      <color theme="1"/>
      <name val="Aptos Narrow"/>
      <family val="2"/>
      <scheme val="minor"/>
    </font>
    <font>
      <sz val="11"/>
      <color theme="1"/>
      <name val="Arial"/>
      <family val="2"/>
    </font>
    <font>
      <sz val="10"/>
      <color rgb="FF000000"/>
      <name val="Tahoma"/>
      <family val="2"/>
    </font>
    <font>
      <b/>
      <sz val="10"/>
      <color rgb="FF000000"/>
      <name val="Tahoma"/>
      <family val="2"/>
    </font>
    <font>
      <b/>
      <sz val="10"/>
      <name val="Arial"/>
      <family val="2"/>
    </font>
    <font>
      <b/>
      <sz val="12"/>
      <color theme="0"/>
      <name val="Aptos Narrow"/>
      <family val="2"/>
      <scheme val="minor"/>
    </font>
    <font>
      <sz val="12"/>
      <color theme="0"/>
      <name val="Aptos Narrow"/>
      <family val="2"/>
      <scheme val="minor"/>
    </font>
    <font>
      <b/>
      <sz val="9"/>
      <color theme="1"/>
      <name val="Aptos Narrow"/>
      <scheme val="minor"/>
    </font>
    <font>
      <sz val="9"/>
      <color theme="1"/>
      <name val="Aptos Narrow"/>
      <scheme val="minor"/>
    </font>
    <font>
      <b/>
      <sz val="10"/>
      <color theme="1"/>
      <name val="Aptos Narrow"/>
      <scheme val="minor"/>
    </font>
    <font>
      <sz val="9"/>
      <name val="Aptos Narrow"/>
      <family val="2"/>
      <scheme val="minor"/>
    </font>
    <font>
      <sz val="12"/>
      <name val="Aptos Narrow"/>
      <family val="2"/>
      <scheme val="minor"/>
    </font>
    <font>
      <sz val="8"/>
      <name val="Aptos Narrow"/>
      <family val="2"/>
      <scheme val="minor"/>
    </font>
    <font>
      <sz val="12"/>
      <color rgb="FF000000"/>
      <name val="Aptos Narrow"/>
      <family val="2"/>
      <scheme val="minor"/>
    </font>
    <font>
      <b/>
      <sz val="12"/>
      <color theme="0"/>
      <name val="Aptos Narrow"/>
      <scheme val="minor"/>
    </font>
    <font>
      <b/>
      <sz val="10"/>
      <color theme="0"/>
      <name val="Arial"/>
      <family val="2"/>
    </font>
    <font>
      <b/>
      <sz val="12"/>
      <name val="Aptos Narrow"/>
      <family val="2"/>
      <scheme val="minor"/>
    </font>
    <font>
      <b/>
      <sz val="10"/>
      <name val="Aptos Narrow"/>
      <family val="2"/>
      <scheme val="minor"/>
    </font>
    <font>
      <b/>
      <sz val="9"/>
      <color theme="0"/>
      <name val="Aptos Narrow"/>
      <family val="2"/>
      <scheme val="minor"/>
    </font>
  </fonts>
  <fills count="14">
    <fill>
      <patternFill patternType="none"/>
    </fill>
    <fill>
      <patternFill patternType="gray125"/>
    </fill>
    <fill>
      <patternFill patternType="solid">
        <fgColor rgb="FFFFFFFF"/>
        <bgColor rgb="FF000000"/>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7E79"/>
        <bgColor indexed="64"/>
      </patternFill>
    </fill>
    <fill>
      <patternFill patternType="solid">
        <fgColor rgb="FFFFFFFF"/>
      </patternFill>
    </fill>
    <fill>
      <patternFill patternType="solid">
        <fgColor rgb="FFF5F5F5"/>
      </patternFill>
    </fill>
    <fill>
      <patternFill patternType="solid">
        <fgColor theme="0" tint="-4.9989318521683403E-2"/>
        <bgColor indexed="64"/>
      </patternFill>
    </fill>
    <fill>
      <patternFill patternType="solid">
        <fgColor theme="4"/>
        <bgColor indexed="64"/>
      </patternFill>
    </fill>
    <fill>
      <patternFill patternType="solid">
        <fgColor rgb="FFFBE2D5"/>
        <bgColor indexed="64"/>
      </patternFill>
    </fill>
    <fill>
      <patternFill patternType="solid">
        <fgColor rgb="FFDAF2D0"/>
        <bgColor indexed="64"/>
      </patternFill>
    </fill>
    <fill>
      <patternFill patternType="solid">
        <fgColor theme="0"/>
        <bgColor indexed="64"/>
      </patternFill>
    </fill>
    <fill>
      <patternFill patternType="solid">
        <fgColor rgb="FF001489"/>
        <bgColor indexed="64"/>
      </patternFill>
    </fill>
  </fills>
  <borders count="12">
    <border>
      <left/>
      <right/>
      <top/>
      <bottom/>
      <diagonal/>
    </border>
    <border>
      <left/>
      <right/>
      <top/>
      <bottom style="thin">
        <color rgb="FFD9D9D9"/>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indexed="64"/>
      </bottom>
      <diagonal/>
    </border>
    <border>
      <left style="thin">
        <color rgb="FFCCCCCC"/>
      </left>
      <right style="thin">
        <color rgb="FFCCCCCC"/>
      </right>
      <top/>
      <bottom style="thin">
        <color rgb="FFCCCCCC"/>
      </bottom>
      <diagonal/>
    </border>
    <border>
      <left style="thin">
        <color rgb="FFCCCCCC"/>
      </left>
      <right style="thin">
        <color rgb="FFCCCCCC"/>
      </right>
      <top/>
      <bottom/>
      <diagonal/>
    </border>
    <border>
      <left/>
      <right/>
      <top/>
      <bottom style="thin">
        <color indexed="64"/>
      </bottom>
      <diagonal/>
    </border>
    <border>
      <left/>
      <right/>
      <top style="thin">
        <color indexed="64"/>
      </top>
      <bottom/>
      <diagonal/>
    </border>
    <border>
      <left style="thin">
        <color rgb="FFCCCCCC"/>
      </left>
      <right style="thin">
        <color rgb="FFCCCCCC"/>
      </right>
      <top style="thin">
        <color indexed="64"/>
      </top>
      <bottom/>
      <diagonal/>
    </border>
    <border>
      <left style="thin">
        <color rgb="FFCCCCCC"/>
      </left>
      <right style="thin">
        <color rgb="FFCCCCCC"/>
      </right>
      <top style="thin">
        <color rgb="FFCCCCCC"/>
      </top>
      <bottom/>
      <diagonal/>
    </border>
    <border>
      <left style="thin">
        <color auto="1"/>
      </left>
      <right style="thin">
        <color rgb="FFCCCCCC"/>
      </right>
      <top/>
      <bottom style="thin">
        <color rgb="FFCCCCCC"/>
      </bottom>
      <diagonal/>
    </border>
    <border>
      <left style="thin">
        <color rgb="FFCCCCCC"/>
      </left>
      <right style="thin">
        <color auto="1"/>
      </right>
      <top/>
      <bottom style="thin">
        <color rgb="FFCCCCCC"/>
      </bottom>
      <diagonal/>
    </border>
  </borders>
  <cellStyleXfs count="2">
    <xf numFmtId="0" fontId="0" fillId="0" borderId="0"/>
    <xf numFmtId="9" fontId="1" fillId="0" borderId="0" applyFont="0" applyFill="0" applyBorder="0" applyAlignment="0" applyProtection="0"/>
  </cellStyleXfs>
  <cellXfs count="99">
    <xf numFmtId="0" fontId="0" fillId="0" borderId="0" xfId="0"/>
    <xf numFmtId="0" fontId="0" fillId="3" borderId="0" xfId="0" applyFill="1"/>
    <xf numFmtId="0" fontId="0" fillId="4" borderId="0" xfId="0" applyFill="1"/>
    <xf numFmtId="0" fontId="0" fillId="5" borderId="0" xfId="0" applyFill="1"/>
    <xf numFmtId="0" fontId="0" fillId="0" borderId="0" xfId="0" applyAlignment="1">
      <alignment vertical="top" wrapText="1"/>
    </xf>
    <xf numFmtId="0" fontId="2" fillId="6" borderId="2" xfId="0" applyFont="1" applyFill="1" applyBorder="1" applyAlignment="1">
      <alignment horizontal="center" vertical="center"/>
    </xf>
    <xf numFmtId="0" fontId="3" fillId="6" borderId="2" xfId="0" applyFont="1" applyFill="1" applyBorder="1" applyAlignment="1">
      <alignment horizontal="left" vertical="center" wrapText="1"/>
    </xf>
    <xf numFmtId="0" fontId="2" fillId="7" borderId="2" xfId="0" applyFont="1" applyFill="1" applyBorder="1" applyAlignment="1">
      <alignment horizontal="center" vertical="center"/>
    </xf>
    <xf numFmtId="0" fontId="3" fillId="7" borderId="2" xfId="0" applyFont="1" applyFill="1" applyBorder="1" applyAlignment="1">
      <alignment horizontal="left" vertical="center" wrapText="1"/>
    </xf>
    <xf numFmtId="0" fontId="3" fillId="6" borderId="2" xfId="0" applyFont="1" applyFill="1" applyBorder="1" applyAlignment="1">
      <alignment horizontal="left" vertical="top" wrapText="1"/>
    </xf>
    <xf numFmtId="0" fontId="5" fillId="6" borderId="2" xfId="0" applyFont="1" applyFill="1" applyBorder="1" applyAlignment="1">
      <alignment horizontal="left" vertical="center"/>
    </xf>
    <xf numFmtId="0" fontId="5" fillId="7" borderId="2" xfId="0" applyFont="1" applyFill="1" applyBorder="1" applyAlignment="1">
      <alignment horizontal="left" vertical="center"/>
    </xf>
    <xf numFmtId="0" fontId="5" fillId="6" borderId="4" xfId="0" applyFont="1" applyFill="1" applyBorder="1" applyAlignment="1">
      <alignment horizontal="left" vertical="center"/>
    </xf>
    <xf numFmtId="0" fontId="2" fillId="6" borderId="4" xfId="0" applyFont="1" applyFill="1" applyBorder="1" applyAlignment="1">
      <alignment horizontal="center" vertical="center"/>
    </xf>
    <xf numFmtId="0" fontId="3" fillId="6" borderId="4" xfId="0" applyFont="1" applyFill="1" applyBorder="1" applyAlignment="1">
      <alignment horizontal="left" vertical="center" wrapText="1"/>
    </xf>
    <xf numFmtId="0" fontId="4" fillId="8" borderId="3" xfId="0" applyFont="1" applyFill="1" applyBorder="1" applyAlignment="1">
      <alignment horizontal="left" vertical="center"/>
    </xf>
    <xf numFmtId="0" fontId="4" fillId="8" borderId="3" xfId="0" applyFont="1" applyFill="1" applyBorder="1" applyAlignment="1">
      <alignment horizontal="center" vertical="center" wrapText="1"/>
    </xf>
    <xf numFmtId="0" fontId="3" fillId="7" borderId="2" xfId="0" applyFont="1" applyFill="1" applyBorder="1" applyAlignment="1">
      <alignment horizontal="left" vertical="top" wrapText="1"/>
    </xf>
    <xf numFmtId="9" fontId="0" fillId="0" borderId="0" xfId="1" applyFont="1"/>
    <xf numFmtId="9" fontId="0" fillId="0" borderId="0" xfId="0" applyNumberFormat="1"/>
    <xf numFmtId="0" fontId="3" fillId="6" borderId="4" xfId="0" applyFont="1" applyFill="1" applyBorder="1" applyAlignment="1">
      <alignment horizontal="left" vertical="top" wrapText="1"/>
    </xf>
    <xf numFmtId="0" fontId="2" fillId="7" borderId="2" xfId="0" applyFont="1" applyFill="1" applyBorder="1" applyAlignment="1">
      <alignment horizontal="left" vertical="top" wrapText="1"/>
    </xf>
    <xf numFmtId="0" fontId="2" fillId="6" borderId="2" xfId="0" applyFont="1" applyFill="1" applyBorder="1" applyAlignment="1">
      <alignment horizontal="left" vertical="top" wrapText="1"/>
    </xf>
    <xf numFmtId="0" fontId="2" fillId="7" borderId="2" xfId="0" applyFont="1" applyFill="1" applyBorder="1" applyAlignment="1">
      <alignment horizontal="left" vertical="top"/>
    </xf>
    <xf numFmtId="0" fontId="0" fillId="0" borderId="0" xfId="0" applyAlignment="1">
      <alignment horizontal="left" vertical="top"/>
    </xf>
    <xf numFmtId="0" fontId="6" fillId="0" borderId="0" xfId="0" applyFont="1" applyAlignment="1">
      <alignment horizontal="left" vertical="top" wrapText="1"/>
    </xf>
    <xf numFmtId="9" fontId="2" fillId="7" borderId="2" xfId="1" applyFont="1" applyFill="1" applyBorder="1" applyAlignment="1">
      <alignment horizontal="center" vertical="center"/>
    </xf>
    <xf numFmtId="9" fontId="2" fillId="6" borderId="2" xfId="0" applyNumberFormat="1" applyFont="1" applyFill="1" applyBorder="1" applyAlignment="1">
      <alignment horizontal="center" vertical="center"/>
    </xf>
    <xf numFmtId="0" fontId="2" fillId="6" borderId="5" xfId="0" applyFont="1" applyFill="1" applyBorder="1" applyAlignment="1">
      <alignment horizontal="center" vertical="center"/>
    </xf>
    <xf numFmtId="0" fontId="3" fillId="2" borderId="2" xfId="0" applyFont="1" applyFill="1" applyBorder="1" applyAlignment="1">
      <alignment horizontal="left" vertical="center" wrapText="1"/>
    </xf>
    <xf numFmtId="0" fontId="7" fillId="7" borderId="2" xfId="0" applyFont="1" applyFill="1" applyBorder="1" applyAlignment="1">
      <alignment horizontal="left" vertical="top" wrapText="1"/>
    </xf>
    <xf numFmtId="9" fontId="2" fillId="7" borderId="4" xfId="1" applyFont="1" applyFill="1" applyBorder="1" applyAlignment="1">
      <alignment horizontal="center" vertical="center"/>
    </xf>
    <xf numFmtId="0" fontId="2" fillId="7" borderId="4" xfId="0" applyFont="1" applyFill="1" applyBorder="1" applyAlignment="1">
      <alignment horizontal="center" vertical="center"/>
    </xf>
    <xf numFmtId="0" fontId="0" fillId="0" borderId="6" xfId="0" applyBorder="1"/>
    <xf numFmtId="0" fontId="0" fillId="0" borderId="6" xfId="0" applyBorder="1" applyAlignment="1">
      <alignment horizontal="left" vertical="top"/>
    </xf>
    <xf numFmtId="0" fontId="2" fillId="6" borderId="3" xfId="0" applyFont="1" applyFill="1" applyBorder="1" applyAlignment="1">
      <alignment horizontal="center" vertical="center"/>
    </xf>
    <xf numFmtId="0" fontId="0" fillId="0" borderId="0" xfId="0" applyAlignment="1">
      <alignment horizontal="center" vertical="center" wrapText="1"/>
    </xf>
    <xf numFmtId="0" fontId="9" fillId="0" borderId="0" xfId="0" applyFont="1" applyAlignment="1">
      <alignment horizontal="center" vertical="center"/>
    </xf>
    <xf numFmtId="0" fontId="9" fillId="0" borderId="0" xfId="0" applyFont="1"/>
    <xf numFmtId="0" fontId="9" fillId="0" borderId="0" xfId="0" applyFont="1" applyAlignment="1">
      <alignment vertical="top" wrapText="1"/>
    </xf>
    <xf numFmtId="0" fontId="9" fillId="0" borderId="6" xfId="0" applyFont="1" applyBorder="1"/>
    <xf numFmtId="0" fontId="9" fillId="0" borderId="6" xfId="0" applyFont="1" applyBorder="1" applyAlignment="1">
      <alignment horizontal="left" vertical="top"/>
    </xf>
    <xf numFmtId="0" fontId="3" fillId="6" borderId="3" xfId="0" applyFont="1" applyFill="1" applyBorder="1" applyAlignment="1">
      <alignment horizontal="center" vertical="center"/>
    </xf>
    <xf numFmtId="0" fontId="9" fillId="0" borderId="0" xfId="0" applyFont="1" applyAlignment="1">
      <alignment horizontal="left" vertical="top" wrapText="1"/>
    </xf>
    <xf numFmtId="0" fontId="4" fillId="8" borderId="3" xfId="0" applyFont="1" applyFill="1" applyBorder="1" applyAlignment="1">
      <alignment horizontal="left" vertical="center" wrapText="1"/>
    </xf>
    <xf numFmtId="0" fontId="13" fillId="6" borderId="4" xfId="0" applyFont="1" applyFill="1" applyBorder="1" applyAlignment="1">
      <alignment horizontal="center" vertical="center"/>
    </xf>
    <xf numFmtId="0" fontId="13" fillId="7" borderId="2" xfId="0" applyFont="1" applyFill="1" applyBorder="1" applyAlignment="1">
      <alignment horizontal="center" vertical="center"/>
    </xf>
    <xf numFmtId="0" fontId="13" fillId="6" borderId="2" xfId="0" applyFont="1" applyFill="1" applyBorder="1" applyAlignment="1">
      <alignment horizontal="center" vertical="center"/>
    </xf>
    <xf numFmtId="0" fontId="17" fillId="0" borderId="0" xfId="0" applyFont="1" applyAlignment="1">
      <alignment horizontal="left" vertical="top" wrapText="1"/>
    </xf>
    <xf numFmtId="0" fontId="17" fillId="0" borderId="0" xfId="0" applyFont="1" applyAlignment="1">
      <alignment vertical="top" wrapText="1"/>
    </xf>
    <xf numFmtId="0" fontId="19" fillId="0" borderId="6" xfId="0" applyFont="1" applyBorder="1"/>
    <xf numFmtId="0" fontId="19" fillId="0" borderId="6" xfId="0" applyFont="1" applyBorder="1" applyAlignment="1">
      <alignment horizontal="left" vertical="top"/>
    </xf>
    <xf numFmtId="0" fontId="3" fillId="0" borderId="3" xfId="0" applyFont="1" applyBorder="1" applyAlignment="1">
      <alignment horizontal="center" vertical="center"/>
    </xf>
    <xf numFmtId="0" fontId="20" fillId="0" borderId="0" xfId="0" applyFont="1"/>
    <xf numFmtId="9" fontId="20" fillId="0" borderId="0" xfId="1" applyFont="1" applyFill="1"/>
    <xf numFmtId="9" fontId="20" fillId="0" borderId="0" xfId="0" applyNumberFormat="1" applyFont="1"/>
    <xf numFmtId="0" fontId="20" fillId="0" borderId="0" xfId="0" applyFont="1" applyAlignment="1">
      <alignment horizontal="left" vertical="top"/>
    </xf>
    <xf numFmtId="9" fontId="2" fillId="0" borderId="4" xfId="1" applyFont="1" applyFill="1" applyBorder="1" applyAlignment="1">
      <alignment horizontal="center" vertical="center"/>
    </xf>
    <xf numFmtId="0" fontId="2" fillId="0" borderId="4" xfId="0" applyFont="1" applyBorder="1" applyAlignment="1">
      <alignment horizontal="center" vertical="center"/>
    </xf>
    <xf numFmtId="9" fontId="2" fillId="0" borderId="2" xfId="1" applyFont="1" applyFill="1" applyBorder="1" applyAlignment="1">
      <alignment horizontal="center" vertical="center"/>
    </xf>
    <xf numFmtId="0" fontId="2" fillId="0" borderId="2" xfId="0" applyFont="1" applyBorder="1" applyAlignment="1">
      <alignment horizontal="center" vertical="center"/>
    </xf>
    <xf numFmtId="9" fontId="2" fillId="0" borderId="2" xfId="0" applyNumberFormat="1" applyFont="1" applyBorder="1" applyAlignment="1">
      <alignment horizontal="center" vertical="center"/>
    </xf>
    <xf numFmtId="0" fontId="22" fillId="0" borderId="0" xfId="0" applyFont="1"/>
    <xf numFmtId="0" fontId="23" fillId="9" borderId="0" xfId="0" applyFont="1" applyFill="1"/>
    <xf numFmtId="0" fontId="15" fillId="9" borderId="0" xfId="0" applyFont="1" applyFill="1"/>
    <xf numFmtId="0" fontId="2" fillId="7" borderId="9" xfId="0" applyFont="1" applyFill="1" applyBorder="1" applyAlignment="1">
      <alignment horizontal="center" vertical="center"/>
    </xf>
    <xf numFmtId="0" fontId="2" fillId="0" borderId="0" xfId="0" applyFont="1" applyAlignment="1">
      <alignment horizontal="center" vertical="center"/>
    </xf>
    <xf numFmtId="0" fontId="8" fillId="0" borderId="0" xfId="0" applyFont="1"/>
    <xf numFmtId="0" fontId="8" fillId="0" borderId="0" xfId="0" applyFont="1" applyAlignment="1">
      <alignment horizontal="center"/>
    </xf>
    <xf numFmtId="0" fontId="9" fillId="0" borderId="0" xfId="0" applyFont="1" applyAlignment="1">
      <alignment horizontal="center"/>
    </xf>
    <xf numFmtId="0" fontId="14" fillId="9" borderId="0" xfId="0" applyFont="1" applyFill="1"/>
    <xf numFmtId="0" fontId="24" fillId="9" borderId="0" xfId="0" applyFont="1" applyFill="1" applyAlignment="1">
      <alignment horizontal="center" vertical="center"/>
    </xf>
    <xf numFmtId="0" fontId="0" fillId="0" borderId="0" xfId="0" applyAlignment="1">
      <alignment horizontal="center"/>
    </xf>
    <xf numFmtId="0" fontId="23" fillId="9" borderId="0" xfId="0" applyFont="1" applyFill="1" applyAlignment="1">
      <alignment horizontal="center"/>
    </xf>
    <xf numFmtId="0" fontId="19" fillId="0" borderId="0" xfId="0" applyFont="1"/>
    <xf numFmtId="0" fontId="19" fillId="0" borderId="10" xfId="0" applyFont="1" applyBorder="1"/>
    <xf numFmtId="0" fontId="19" fillId="0" borderId="4" xfId="0" applyFont="1" applyBorder="1" applyAlignment="1">
      <alignment horizontal="center"/>
    </xf>
    <xf numFmtId="0" fontId="19" fillId="0" borderId="11" xfId="0" applyFont="1" applyBorder="1" applyAlignment="1">
      <alignment horizontal="center"/>
    </xf>
    <xf numFmtId="0" fontId="25" fillId="0" borderId="0" xfId="0" applyFont="1"/>
    <xf numFmtId="0" fontId="26" fillId="0" borderId="0" xfId="0" applyFont="1"/>
    <xf numFmtId="0" fontId="23" fillId="13" borderId="0" xfId="0" applyFont="1" applyFill="1"/>
    <xf numFmtId="0" fontId="23" fillId="13" borderId="1" xfId="0" applyFont="1" applyFill="1" applyBorder="1"/>
    <xf numFmtId="0" fontId="27" fillId="9" borderId="0" xfId="0" applyFont="1" applyFill="1" applyAlignment="1">
      <alignment horizontal="center"/>
    </xf>
    <xf numFmtId="0" fontId="0" fillId="5" borderId="0" xfId="0" applyFill="1" applyAlignment="1">
      <alignment horizontal="center"/>
    </xf>
    <xf numFmtId="0" fontId="0" fillId="0" borderId="0" xfId="0" applyAlignment="1">
      <alignment horizontal="left"/>
    </xf>
    <xf numFmtId="0" fontId="0" fillId="10" borderId="0" xfId="0" applyFill="1" applyAlignment="1">
      <alignment horizontal="center"/>
    </xf>
    <xf numFmtId="0" fontId="0" fillId="3" borderId="0" xfId="0" applyFill="1" applyAlignment="1">
      <alignment horizontal="center"/>
    </xf>
    <xf numFmtId="0" fontId="0" fillId="11" borderId="0" xfId="0" applyFill="1" applyAlignment="1">
      <alignment horizontal="center"/>
    </xf>
    <xf numFmtId="0" fontId="8" fillId="0" borderId="7" xfId="0" applyFont="1" applyBorder="1" applyAlignment="1">
      <alignment horizontal="left" vertical="top" wrapText="1"/>
    </xf>
    <xf numFmtId="0" fontId="2" fillId="5" borderId="8" xfId="0" applyFont="1" applyFill="1" applyBorder="1" applyAlignment="1">
      <alignment horizontal="center" vertical="center"/>
    </xf>
    <xf numFmtId="0" fontId="2" fillId="6" borderId="5" xfId="0" applyFont="1" applyFill="1" applyBorder="1" applyAlignment="1">
      <alignment horizontal="center" vertical="center"/>
    </xf>
    <xf numFmtId="0" fontId="2" fillId="6" borderId="4" xfId="0" applyFont="1" applyFill="1" applyBorder="1" applyAlignment="1">
      <alignment horizontal="center" vertical="center"/>
    </xf>
    <xf numFmtId="0" fontId="2" fillId="10" borderId="8" xfId="0" applyFont="1" applyFill="1" applyBorder="1" applyAlignment="1">
      <alignment horizontal="center" vertical="center"/>
    </xf>
    <xf numFmtId="0" fontId="2" fillId="11" borderId="8" xfId="0" applyFont="1" applyFill="1" applyBorder="1" applyAlignment="1">
      <alignment horizontal="center" vertical="center"/>
    </xf>
    <xf numFmtId="0" fontId="13" fillId="6" borderId="5" xfId="0" applyFont="1" applyFill="1" applyBorder="1" applyAlignment="1">
      <alignment horizontal="center" vertical="center"/>
    </xf>
    <xf numFmtId="0" fontId="13" fillId="6" borderId="4" xfId="0" applyFont="1" applyFill="1" applyBorder="1" applyAlignment="1">
      <alignment horizontal="center" vertical="center"/>
    </xf>
    <xf numFmtId="0" fontId="2" fillId="12" borderId="8" xfId="0" applyFont="1" applyFill="1" applyBorder="1" applyAlignment="1">
      <alignment horizontal="center" vertical="center"/>
    </xf>
    <xf numFmtId="0" fontId="13" fillId="12" borderId="5" xfId="0" applyFont="1" applyFill="1" applyBorder="1" applyAlignment="1">
      <alignment horizontal="center" vertical="center"/>
    </xf>
    <xf numFmtId="0" fontId="13" fillId="12" borderId="4" xfId="0" applyFont="1" applyFill="1" applyBorder="1" applyAlignment="1">
      <alignment horizontal="center" vertical="center"/>
    </xf>
  </cellXfs>
  <cellStyles count="2">
    <cellStyle name="Normal" xfId="0" builtinId="0"/>
    <cellStyle name="Percent" xfId="1" builtinId="5"/>
  </cellStyles>
  <dxfs count="21">
    <dxf>
      <font>
        <b val="0"/>
        <i val="0"/>
        <strike val="0"/>
        <condense val="0"/>
        <extend val="0"/>
        <outline val="0"/>
        <shadow val="0"/>
        <u val="none"/>
        <vertAlign val="baseline"/>
        <sz val="12"/>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fill>
        <patternFill patternType="none">
          <fgColor indexed="64"/>
          <bgColor indexed="65"/>
        </patternFill>
      </fill>
      <alignment horizontal="center" vertical="bottom" textRotation="0" wrapText="0" indent="0" justifyLastLine="0" shrinkToFit="0" readingOrder="0"/>
    </dxf>
    <dxf>
      <font>
        <b/>
        <strike val="0"/>
        <outline val="0"/>
        <shadow val="0"/>
        <u val="none"/>
        <vertAlign val="baseline"/>
        <color theme="0"/>
      </font>
      <fill>
        <patternFill>
          <fgColor indexed="64"/>
          <bgColor theme="4"/>
        </patternFill>
      </fill>
    </dxf>
    <dxf>
      <font>
        <b val="0"/>
        <i val="0"/>
        <strike val="0"/>
        <condense val="0"/>
        <extend val="0"/>
        <outline val="0"/>
        <shadow val="0"/>
        <u val="none"/>
        <vertAlign val="baseline"/>
        <sz val="12"/>
        <color theme="1"/>
        <name val="Aptos Narrow"/>
        <family val="2"/>
        <scheme val="minor"/>
      </font>
      <fill>
        <patternFill patternType="none">
          <fgColor indexed="64"/>
          <bgColor indexed="65"/>
        </patternFill>
      </fill>
      <alignment horizontal="center" vertical="bottom" textRotation="0" wrapText="0" indent="0" justifyLastLine="0" shrinkToFit="0" readingOrder="0"/>
    </dxf>
    <dxf>
      <font>
        <b/>
        <strike val="0"/>
        <outline val="0"/>
        <shadow val="0"/>
        <u val="none"/>
        <vertAlign val="baseline"/>
        <color theme="0"/>
        <name val="Aptos Narrow"/>
        <family val="2"/>
        <scheme val="minor"/>
      </font>
      <fill>
        <patternFill patternType="solid">
          <fgColor indexed="64"/>
          <bgColor theme="4"/>
        </patternFill>
      </fill>
    </dxf>
    <dxf>
      <font>
        <strike val="0"/>
        <outline val="0"/>
        <shadow val="0"/>
        <u val="none"/>
        <vertAlign val="baseline"/>
        <sz val="12"/>
        <color theme="0"/>
        <name val="Aptos Narrow"/>
        <family val="2"/>
        <scheme val="minor"/>
      </font>
      <fill>
        <patternFill patternType="solid">
          <fgColor indexed="64"/>
          <bgColor theme="4"/>
        </patternFill>
      </fill>
    </dxf>
    <dxf>
      <numFmt numFmtId="0" formatCode="General"/>
    </dxf>
    <dxf>
      <numFmt numFmtId="0" formatCode="General"/>
    </dxf>
    <dxf>
      <font>
        <b val="0"/>
        <i val="0"/>
        <strike val="0"/>
        <condense val="0"/>
        <extend val="0"/>
        <outline val="0"/>
        <shadow val="0"/>
        <u val="none"/>
        <vertAlign val="baseline"/>
        <sz val="11"/>
        <color rgb="FF000000"/>
        <name val="Calibri"/>
        <family val="2"/>
        <scheme val="none"/>
      </font>
      <border diagonalUp="0" diagonalDown="0">
        <left/>
        <right/>
        <top style="thin">
          <color rgb="FF9BC2E6"/>
        </top>
        <bottom style="thin">
          <color rgb="FF9BC2E6"/>
        </bottom>
        <vertical/>
        <horizontal/>
      </border>
    </dxf>
    <dxf>
      <font>
        <b val="0"/>
        <i val="0"/>
        <strike val="0"/>
        <condense val="0"/>
        <extend val="0"/>
        <outline val="0"/>
        <shadow val="0"/>
        <u val="none"/>
        <vertAlign val="baseline"/>
        <sz val="10"/>
        <color rgb="FF000000"/>
        <name val="Arial"/>
        <family val="2"/>
        <scheme val="none"/>
      </font>
      <alignment horizontal="left" vertical="top" textRotation="0" wrapText="0" indent="0" justifyLastLine="0" shrinkToFit="0" readingOrder="0"/>
      <border diagonalUp="0" diagonalDown="0">
        <left/>
        <right/>
        <top style="thin">
          <color rgb="FF9BC2E6"/>
        </top>
        <bottom style="thin">
          <color rgb="FF9BC2E6"/>
        </bottom>
        <vertical/>
        <horizontal/>
      </border>
    </dxf>
    <dxf>
      <font>
        <b val="0"/>
        <i val="0"/>
        <strike val="0"/>
        <condense val="0"/>
        <extend val="0"/>
        <outline val="0"/>
        <shadow val="0"/>
        <u val="none"/>
        <vertAlign val="baseline"/>
        <sz val="10"/>
        <color rgb="FF000000"/>
        <name val="Arial"/>
        <family val="2"/>
        <scheme val="none"/>
      </font>
      <alignment horizontal="general" vertical="top" textRotation="0" wrapText="0" indent="0" justifyLastLine="0" shrinkToFit="0" readingOrder="0"/>
      <border diagonalUp="0" diagonalDown="0">
        <left/>
        <right/>
        <top style="thin">
          <color rgb="FF9BC2E6"/>
        </top>
        <bottom style="thin">
          <color rgb="FF9BC2E6"/>
        </bottom>
        <vertical/>
        <horizontal/>
      </border>
    </dxf>
    <dxf>
      <border outline="0">
        <top style="thin">
          <color rgb="FF9BC2E6"/>
        </top>
      </border>
    </dxf>
    <dxf>
      <border outline="0">
        <left style="thin">
          <color rgb="FF9BC2E6"/>
        </left>
        <top style="thin">
          <color rgb="FF9BC2E6"/>
        </top>
        <bottom style="thin">
          <color rgb="FF9BC2E6"/>
        </bottom>
      </border>
    </dxf>
    <dxf>
      <border outline="0">
        <bottom style="thin">
          <color rgb="FFD9D9D9"/>
        </bottom>
      </border>
    </dxf>
    <dxf>
      <font>
        <b/>
        <i val="0"/>
        <strike val="0"/>
        <condense val="0"/>
        <extend val="0"/>
        <outline val="0"/>
        <shadow val="0"/>
        <u val="none"/>
        <vertAlign val="baseline"/>
        <sz val="12"/>
        <color theme="0"/>
        <name val="Aptos Narrow"/>
        <scheme val="minor"/>
      </font>
      <fill>
        <patternFill patternType="solid">
          <fgColor indexed="64"/>
          <bgColor rgb="FF001489"/>
        </patternFill>
      </fill>
    </dxf>
    <dxf>
      <font>
        <b val="0"/>
        <i val="0"/>
        <strike val="0"/>
        <condense val="0"/>
        <extend val="0"/>
        <outline val="0"/>
        <shadow val="0"/>
        <u val="none"/>
        <vertAlign val="baseline"/>
        <sz val="12"/>
        <color rgb="FF000000"/>
        <name val="Aptos Narrow"/>
        <family val="2"/>
        <scheme val="minor"/>
      </font>
    </dxf>
    <dxf>
      <font>
        <b/>
        <i val="0"/>
        <strike val="0"/>
        <condense val="0"/>
        <extend val="0"/>
        <outline val="0"/>
        <shadow val="0"/>
        <u val="none"/>
        <vertAlign val="baseline"/>
        <sz val="12"/>
        <color theme="0"/>
        <name val="Aptos Narrow"/>
        <scheme val="minor"/>
      </font>
      <fill>
        <patternFill patternType="solid">
          <fgColor indexed="64"/>
          <bgColor theme="4"/>
        </patternFill>
      </fill>
    </dxf>
    <dxf>
      <numFmt numFmtId="0" formatCode="General"/>
    </dxf>
    <dxf>
      <font>
        <b/>
        <strike val="0"/>
        <outline val="0"/>
        <shadow val="0"/>
        <u val="none"/>
        <vertAlign val="baseline"/>
        <sz val="12"/>
        <color theme="0"/>
        <name val="Aptos Narrow"/>
        <family val="2"/>
        <scheme val="minor"/>
      </font>
      <fill>
        <patternFill patternType="solid">
          <fgColor indexed="64"/>
          <bgColor theme="4"/>
        </patternFill>
      </fill>
    </dxf>
    <dxf>
      <numFmt numFmtId="0" formatCode="General"/>
    </dxf>
    <dxf>
      <font>
        <b/>
        <strike val="0"/>
        <outline val="0"/>
        <shadow val="0"/>
        <u val="none"/>
        <vertAlign val="baseline"/>
        <sz val="12"/>
        <color theme="0"/>
        <name val="Aptos Narrow"/>
        <family val="2"/>
        <scheme val="minor"/>
      </font>
      <fill>
        <patternFill patternType="solid">
          <fgColor indexed="64"/>
          <bgColor theme="4"/>
        </patternFill>
      </fill>
    </dxf>
  </dxfs>
  <tableStyles count="0" defaultTableStyle="TableStyleMedium2" defaultPivotStyle="PivotStyleLight16"/>
  <colors>
    <mruColors>
      <color rgb="FFFF7E79"/>
      <color rgb="FF8725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17C83C-4064-D04B-AB48-F17BA27CEE68}" name="Table1" displayName="Table1" ref="A1:G1048576" totalsRowShown="0" headerRowDxfId="14" headerRowBorderDxfId="13" tableBorderDxfId="12" totalsRowBorderDxfId="11">
  <autoFilter ref="A1:G1048576" xr:uid="{6C17C83C-4064-D04B-AB48-F17BA27CEE68}"/>
  <tableColumns count="7">
    <tableColumn id="1" xr3:uid="{4EDEBDD3-ACBF-9243-B256-6341DE5C6240}" name="Name CELI" dataDxfId="10"/>
    <tableColumn id="2" xr3:uid="{14C6EF89-526B-B741-BE17-2EAAD95E0307}" name="Company_Name_Orbis" dataDxfId="9"/>
    <tableColumn id="3" xr3:uid="{6C19FB14-BF73-1541-9558-A0414EB52154}" name="Aligned_CELI_Status"/>
    <tableColumn id="4" xr3:uid="{0C697C7E-B83E-8549-AAB4-EBA8A89A40BC}" name="GICS Industry" dataDxfId="8"/>
    <tableColumn id="5" xr3:uid="{219B08CB-0F36-C249-B2C2-483C939941F8}" name="Country"/>
    <tableColumn id="6" xr3:uid="{47E1BCC7-090E-3D45-B46F-E3AE1F33ED8A}" name="Region" dataDxfId="7">
      <calculatedColumnFormula array="1">_xlfn.IFS(Table1[[#This Row],[Country]]="United States","US",Table1[[#This Row],[Country]]="United Kingdom","UK",TRUE,"EU")</calculatedColumnFormula>
    </tableColumn>
    <tableColumn id="7" xr3:uid="{47854961-6180-814C-83E6-90FB8E133371}" name="Sanction Rating" dataDxfId="6">
      <calculatedColumnFormula array="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9FBE6A-E9E9-EA4A-927F-69922EEF6B42}" name="Table3" displayName="Table3" ref="A1:B12" totalsRowShown="0" headerRowDxfId="20">
  <autoFilter ref="A1:B12" xr:uid="{3C9FBE6A-E9E9-EA4A-927F-69922EEF6B42}"/>
  <sortState xmlns:xlrd2="http://schemas.microsoft.com/office/spreadsheetml/2017/richdata2" ref="A2:B12">
    <sortCondition descending="1" ref="B1:B12"/>
  </sortState>
  <tableColumns count="2">
    <tableColumn id="1" xr3:uid="{DE5D6C77-4B6F-B949-B8DF-3A92D820294E}" name="EU"/>
    <tableColumn id="2" xr3:uid="{8F0390D0-881A-A543-925C-40DB4FE80803}" name="Rating" dataDxfId="19">
      <calculatedColumnFormula>+_xlfn.XLOOKUP(Table3[[#This Row],[EU]],Table2[EU GICS Sector],Table2[Rating],"n.a.",0)</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403EF1-1632-734D-86AA-1AAE3B742686}" name="Table4" displayName="Table4" ref="A14:B25" totalsRowShown="0" headerRowDxfId="18">
  <autoFilter ref="A14:B25" xr:uid="{0C403EF1-1632-734D-86AA-1AAE3B742686}"/>
  <tableColumns count="2">
    <tableColumn id="1" xr3:uid="{FB25447C-CFFD-BF4B-B220-BDC2FB57CE82}" name="US"/>
    <tableColumn id="2" xr3:uid="{5D0C8F34-5E2A-7946-A69F-DA7158C0BF87}" name="Rating" data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98DEE2D-0C22-D04A-8771-1B06E14CE636}" name="Table5" displayName="Table5" ref="A29:B40" totalsRowShown="0" headerRowDxfId="16">
  <autoFilter ref="A29:B40" xr:uid="{198DEE2D-0C22-D04A-8771-1B06E14CE636}"/>
  <tableColumns count="2">
    <tableColumn id="1" xr3:uid="{F8921F8D-CEB3-684C-9E28-7E412B946AF0}" name="UK" dataDxfId="15"/>
    <tableColumn id="2" xr3:uid="{CE6CB1D5-69D6-2843-B7FB-CC349453C3D1}" name="Rating"/>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56B87A-DEA7-AD49-8FAA-F349BC34581A}" name="Table2" displayName="Table2" ref="A38:D49" totalsRowShown="0" headerRowDxfId="5">
  <autoFilter ref="A38:D49" xr:uid="{4056B87A-DEA7-AD49-8FAA-F349BC34581A}"/>
  <sortState xmlns:xlrd2="http://schemas.microsoft.com/office/spreadsheetml/2017/richdata2" ref="A39:B49">
    <sortCondition descending="1" ref="B38:B49"/>
  </sortState>
  <tableColumns count="4">
    <tableColumn id="1" xr3:uid="{06F6E949-21D8-194B-80AF-6D93354A3900}" name="EU GICS Sector"/>
    <tableColumn id="2" xr3:uid="{A5A27A2F-B64A-BB41-A6A7-BB85EB331B58}" name="Score"/>
    <tableColumn id="3" xr3:uid="{C5E0F9CE-B701-B642-B204-97B4F53E8C5F}" name="Rating"/>
    <tableColumn id="4" xr3:uid="{7356E2DA-A3CA-C245-A823-C13FBE7A7341}" name="Column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C2A3F57-E0A4-E74B-998A-12216F763EC7}" name="Table8" displayName="Table8" ref="A22:D34" totalsRowShown="0" headerRowDxfId="4">
  <autoFilter ref="A22:D34" xr:uid="{AC2A3F57-E0A4-E74B-998A-12216F763EC7}"/>
  <sortState xmlns:xlrd2="http://schemas.microsoft.com/office/spreadsheetml/2017/richdata2" ref="A23:B33">
    <sortCondition descending="1" ref="B22:B33"/>
  </sortState>
  <tableColumns count="4">
    <tableColumn id="1" xr3:uid="{D0D3D82F-6EF8-6440-B87C-F5D330C968D1}" name="GICS Industry"/>
    <tableColumn id="2" xr3:uid="{763F1A37-A746-9745-9348-A4D2B95C388B}" name="Column2" dataDxfId="3"/>
    <tableColumn id="3" xr3:uid="{7F3D5C11-7388-FE4B-8EFA-A24E71FAC67D}" name="Rating"/>
    <tableColumn id="4" xr3:uid="{E97CAC45-B3EA-5846-A0F2-E38882E4CD9B}" name="Exposure"/>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6ABD7E0-FE04-364C-9D7A-ACB6A377497A}" name="Table6" displayName="Table6" ref="A10:C21" totalsRowShown="0" headerRowDxfId="2">
  <autoFilter ref="A10:C21" xr:uid="{76ABD7E0-FE04-364C-9D7A-ACB6A377497A}"/>
  <sortState xmlns:xlrd2="http://schemas.microsoft.com/office/spreadsheetml/2017/richdata2" ref="A11:C21">
    <sortCondition descending="1" ref="B10:B21"/>
  </sortState>
  <tableColumns count="3">
    <tableColumn id="1" xr3:uid="{A86E4A52-5FBC-6743-AE22-3C3BAEB983C5}" name="GICS Sector"/>
    <tableColumn id="2" xr3:uid="{DE81B76D-06B2-2F43-BFBA-94D05DC2F7AE}" name="Grade" dataDxfId="1"/>
    <tableColumn id="3" xr3:uid="{5CA5BB25-41F8-844B-9238-2BB33134E878}" name="Rating"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384A8D8-EF61-D242-BD0C-7E4F1EEF03A4}">
  <we:reference id="wa200009404" version="1.0.0.8" store="en-US" storeType="OMEX"/>
  <we:alternateReferences>
    <we:reference id="WA200009404" version="1.0.0.8" store="" storeType="OMEX"/>
  </we:alternateReferences>
  <we:properties>
    <we:property name="claude.fileId" value="&quot;0c79de72-c315-436b-a5b4-d53ae451515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6.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FE00D-E4B3-4B43-B6E7-155F3E4DC0C8}">
  <dimension ref="A1:G875"/>
  <sheetViews>
    <sheetView tabSelected="1" workbookViewId="0">
      <selection activeCell="H36" sqref="H36"/>
    </sheetView>
  </sheetViews>
  <sheetFormatPr baseColWidth="10" defaultRowHeight="16" x14ac:dyDescent="0.2"/>
  <cols>
    <col min="1" max="1" width="43.1640625" customWidth="1"/>
    <col min="2" max="2" width="43.5" customWidth="1"/>
    <col min="3" max="3" width="27.83203125" customWidth="1"/>
    <col min="4" max="4" width="23" customWidth="1"/>
    <col min="5" max="5" width="17.5" customWidth="1"/>
    <col min="6" max="6" width="18.83203125" bestFit="1" customWidth="1"/>
    <col min="7" max="7" width="18.83203125" customWidth="1"/>
  </cols>
  <sheetData>
    <row r="1" spans="1:7" x14ac:dyDescent="0.2">
      <c r="A1" s="80" t="s">
        <v>0</v>
      </c>
      <c r="B1" s="80" t="s">
        <v>1</v>
      </c>
      <c r="C1" s="80" t="s">
        <v>2</v>
      </c>
      <c r="D1" s="80" t="s">
        <v>3</v>
      </c>
      <c r="E1" s="80" t="s">
        <v>1573</v>
      </c>
      <c r="F1" s="81" t="s">
        <v>1989</v>
      </c>
      <c r="G1" s="81" t="s">
        <v>1990</v>
      </c>
    </row>
    <row r="2" spans="1:7" x14ac:dyDescent="0.2">
      <c r="A2" t="s">
        <v>4</v>
      </c>
      <c r="B2" t="s">
        <v>5</v>
      </c>
      <c r="C2" t="s">
        <v>6</v>
      </c>
      <c r="D2" t="s">
        <v>7</v>
      </c>
      <c r="E2" t="s">
        <v>1574</v>
      </c>
      <c r="F2" t="str" cm="1">
        <f t="array" ref="F2">_xlfn.IFS(Table1[[#This Row],[Country]]="United States","US",Table1[[#This Row],[Country]]="United Kingdom","UK",TRUE,"EU")</f>
        <v>US</v>
      </c>
      <c r="G2" cm="1">
        <f t="array" ref="G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 spans="1:7" x14ac:dyDescent="0.2">
      <c r="A3" t="s">
        <v>8</v>
      </c>
      <c r="B3" t="s">
        <v>9</v>
      </c>
      <c r="C3" t="s">
        <v>10</v>
      </c>
      <c r="D3" t="s">
        <v>11</v>
      </c>
      <c r="E3" t="s">
        <v>1574</v>
      </c>
      <c r="F3" t="str" cm="1">
        <f t="array" ref="F3">_xlfn.IFS(Table1[[#This Row],[Country]]="United States","US",Table1[[#This Row],[Country]]="United Kingdom","UK",TRUE,"EU")</f>
        <v>US</v>
      </c>
      <c r="G3" cm="1">
        <f t="array" ref="G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4" spans="1:7" x14ac:dyDescent="0.2">
      <c r="A4" t="s">
        <v>12</v>
      </c>
      <c r="B4" t="s">
        <v>13</v>
      </c>
      <c r="C4" t="s">
        <v>10</v>
      </c>
      <c r="D4" t="s">
        <v>11</v>
      </c>
      <c r="E4" t="s">
        <v>1574</v>
      </c>
      <c r="F4" t="str" cm="1">
        <f t="array" ref="F4">_xlfn.IFS(Table1[[#This Row],[Country]]="United States","US",Table1[[#This Row],[Country]]="United Kingdom","UK",TRUE,"EU")</f>
        <v>US</v>
      </c>
      <c r="G4" cm="1">
        <f t="array" ref="G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 spans="1:7" x14ac:dyDescent="0.2">
      <c r="A5" t="s">
        <v>14</v>
      </c>
      <c r="B5" t="s">
        <v>15</v>
      </c>
      <c r="C5" t="s">
        <v>6</v>
      </c>
      <c r="D5" t="s">
        <v>16</v>
      </c>
      <c r="E5" t="s">
        <v>1575</v>
      </c>
      <c r="F5" t="str" cm="1">
        <f t="array" ref="F5">_xlfn.IFS(Table1[[#This Row],[Country]]="United States","US",Table1[[#This Row],[Country]]="United Kingdom","UK",TRUE,"EU")</f>
        <v>UK</v>
      </c>
      <c r="G5" cm="1">
        <f t="array" ref="G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 spans="1:7" x14ac:dyDescent="0.2">
      <c r="A6" t="s">
        <v>19</v>
      </c>
      <c r="B6" t="s">
        <v>20</v>
      </c>
      <c r="C6" t="s">
        <v>24</v>
      </c>
      <c r="D6" t="s">
        <v>21</v>
      </c>
      <c r="E6" t="s">
        <v>1574</v>
      </c>
      <c r="F6" t="str" cm="1">
        <f t="array" ref="F6">_xlfn.IFS(Table1[[#This Row],[Country]]="United States","US",Table1[[#This Row],[Country]]="United Kingdom","UK",TRUE,"EU")</f>
        <v>US</v>
      </c>
      <c r="G6" cm="1">
        <f t="array" ref="G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7" spans="1:7" x14ac:dyDescent="0.2">
      <c r="A7" t="s">
        <v>22</v>
      </c>
      <c r="B7" t="s">
        <v>23</v>
      </c>
      <c r="C7" t="s">
        <v>24</v>
      </c>
      <c r="D7" t="s">
        <v>25</v>
      </c>
      <c r="E7" t="s">
        <v>1576</v>
      </c>
      <c r="F7" t="str" cm="1">
        <f t="array" ref="F7">_xlfn.IFS(Table1[[#This Row],[Country]]="United States","US",Table1[[#This Row],[Country]]="United Kingdom","UK",TRUE,"EU")</f>
        <v>EU</v>
      </c>
      <c r="G7" cm="1">
        <f t="array" ref="G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8" spans="1:7" x14ac:dyDescent="0.2">
      <c r="A8" t="s">
        <v>26</v>
      </c>
      <c r="B8" t="s">
        <v>27</v>
      </c>
      <c r="C8" t="s">
        <v>24</v>
      </c>
      <c r="D8" t="s">
        <v>18</v>
      </c>
      <c r="E8" t="s">
        <v>1574</v>
      </c>
      <c r="F8" t="str" cm="1">
        <f t="array" ref="F8">_xlfn.IFS(Table1[[#This Row],[Country]]="United States","US",Table1[[#This Row],[Country]]="United Kingdom","UK",TRUE,"EU")</f>
        <v>US</v>
      </c>
      <c r="G8" cm="1">
        <f t="array" ref="G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9" spans="1:7" x14ac:dyDescent="0.2">
      <c r="A9" t="s">
        <v>28</v>
      </c>
      <c r="B9" t="s">
        <v>29</v>
      </c>
      <c r="C9" t="s">
        <v>6</v>
      </c>
      <c r="D9" t="s">
        <v>18</v>
      </c>
      <c r="E9" t="s">
        <v>1574</v>
      </c>
      <c r="F9" t="str" cm="1">
        <f t="array" ref="F9">_xlfn.IFS(Table1[[#This Row],[Country]]="United States","US",Table1[[#This Row],[Country]]="United Kingdom","UK",TRUE,"EU")</f>
        <v>US</v>
      </c>
      <c r="G9" cm="1">
        <f t="array" ref="G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0" spans="1:7" x14ac:dyDescent="0.2">
      <c r="A10" t="s">
        <v>30</v>
      </c>
      <c r="B10" t="s">
        <v>30</v>
      </c>
      <c r="C10" t="s">
        <v>17</v>
      </c>
      <c r="D10" t="s">
        <v>7</v>
      </c>
      <c r="E10" t="s">
        <v>1574</v>
      </c>
      <c r="F10" t="str" cm="1">
        <f t="array" ref="F10">_xlfn.IFS(Table1[[#This Row],[Country]]="United States","US",Table1[[#This Row],[Country]]="United Kingdom","UK",TRUE,"EU")</f>
        <v>US</v>
      </c>
      <c r="G10" cm="1">
        <f t="array" ref="G1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1" spans="1:7" x14ac:dyDescent="0.2">
      <c r="A11" t="s">
        <v>31</v>
      </c>
      <c r="B11" t="s">
        <v>32</v>
      </c>
      <c r="C11" t="s">
        <v>17</v>
      </c>
      <c r="D11" t="s">
        <v>33</v>
      </c>
      <c r="E11" t="s">
        <v>1575</v>
      </c>
      <c r="F11" t="str" cm="1">
        <f t="array" ref="F11">_xlfn.IFS(Table1[[#This Row],[Country]]="United States","US",Table1[[#This Row],[Country]]="United Kingdom","UK",TRUE,"EU")</f>
        <v>UK</v>
      </c>
      <c r="G11" cm="1">
        <f t="array" ref="G1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12" spans="1:7" x14ac:dyDescent="0.2">
      <c r="A12" t="s">
        <v>34</v>
      </c>
      <c r="B12" t="s">
        <v>35</v>
      </c>
      <c r="C12" t="s">
        <v>24</v>
      </c>
      <c r="D12" t="s">
        <v>7</v>
      </c>
      <c r="E12" t="s">
        <v>1574</v>
      </c>
      <c r="F12" t="str" cm="1">
        <f t="array" ref="F12">_xlfn.IFS(Table1[[#This Row],[Country]]="United States","US",Table1[[#This Row],[Country]]="United Kingdom","UK",TRUE,"EU")</f>
        <v>US</v>
      </c>
      <c r="G12" cm="1">
        <f t="array" ref="G1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3" spans="1:7" x14ac:dyDescent="0.2">
      <c r="A13" t="s">
        <v>36</v>
      </c>
      <c r="B13" t="s">
        <v>37</v>
      </c>
      <c r="C13" t="s">
        <v>17</v>
      </c>
      <c r="D13" t="s">
        <v>18</v>
      </c>
      <c r="E13" t="s">
        <v>1574</v>
      </c>
      <c r="F13" t="str" cm="1">
        <f t="array" ref="F13">_xlfn.IFS(Table1[[#This Row],[Country]]="United States","US",Table1[[#This Row],[Country]]="United Kingdom","UK",TRUE,"EU")</f>
        <v>US</v>
      </c>
      <c r="G13" cm="1">
        <f t="array" ref="G1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4" spans="1:7" x14ac:dyDescent="0.2">
      <c r="A14" t="s">
        <v>38</v>
      </c>
      <c r="B14" t="s">
        <v>39</v>
      </c>
      <c r="C14" t="s">
        <v>17</v>
      </c>
      <c r="D14" t="s">
        <v>7</v>
      </c>
      <c r="E14" t="s">
        <v>1574</v>
      </c>
      <c r="F14" t="str" cm="1">
        <f t="array" ref="F14">_xlfn.IFS(Table1[[#This Row],[Country]]="United States","US",Table1[[#This Row],[Country]]="United Kingdom","UK",TRUE,"EU")</f>
        <v>US</v>
      </c>
      <c r="G14" cm="1">
        <f t="array" ref="G1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5" spans="1:7" x14ac:dyDescent="0.2">
      <c r="A15" t="s">
        <v>40</v>
      </c>
      <c r="B15" t="s">
        <v>41</v>
      </c>
      <c r="C15" t="s">
        <v>17</v>
      </c>
      <c r="D15" t="s">
        <v>42</v>
      </c>
      <c r="E15" t="s">
        <v>1574</v>
      </c>
      <c r="F15" t="str" cm="1">
        <f t="array" ref="F15">_xlfn.IFS(Table1[[#This Row],[Country]]="United States","US",Table1[[#This Row],[Country]]="United Kingdom","UK",TRUE,"EU")</f>
        <v>US</v>
      </c>
      <c r="G15" cm="1">
        <f t="array" ref="G1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6" spans="1:7" x14ac:dyDescent="0.2">
      <c r="A16" t="s">
        <v>43</v>
      </c>
      <c r="B16" t="s">
        <v>44</v>
      </c>
      <c r="C16" t="s">
        <v>6</v>
      </c>
      <c r="D16" t="s">
        <v>25</v>
      </c>
      <c r="E16" t="s">
        <v>1574</v>
      </c>
      <c r="F16" t="str" cm="1">
        <f t="array" ref="F16">_xlfn.IFS(Table1[[#This Row],[Country]]="United States","US",Table1[[#This Row],[Country]]="United Kingdom","UK",TRUE,"EU")</f>
        <v>US</v>
      </c>
      <c r="G16" cm="1">
        <f t="array" ref="G1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7" spans="1:7" x14ac:dyDescent="0.2">
      <c r="A17" t="s">
        <v>45</v>
      </c>
      <c r="B17" t="s">
        <v>46</v>
      </c>
      <c r="C17" t="s">
        <v>6</v>
      </c>
      <c r="D17" t="s">
        <v>18</v>
      </c>
      <c r="E17" t="s">
        <v>1574</v>
      </c>
      <c r="F17" t="str" cm="1">
        <f t="array" ref="F17">_xlfn.IFS(Table1[[#This Row],[Country]]="United States","US",Table1[[#This Row],[Country]]="United Kingdom","UK",TRUE,"EU")</f>
        <v>US</v>
      </c>
      <c r="G17" cm="1">
        <f t="array" ref="G1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8" spans="1:7" x14ac:dyDescent="0.2">
      <c r="A18" t="s">
        <v>47</v>
      </c>
      <c r="B18" t="s">
        <v>48</v>
      </c>
      <c r="C18" t="s">
        <v>6</v>
      </c>
      <c r="D18" t="s">
        <v>7</v>
      </c>
      <c r="E18" t="s">
        <v>1574</v>
      </c>
      <c r="F18" t="str" cm="1">
        <f t="array" ref="F18">_xlfn.IFS(Table1[[#This Row],[Country]]="United States","US",Table1[[#This Row],[Country]]="United Kingdom","UK",TRUE,"EU")</f>
        <v>US</v>
      </c>
      <c r="G18" cm="1">
        <f t="array" ref="G1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9" spans="1:7" x14ac:dyDescent="0.2">
      <c r="A19" t="s">
        <v>49</v>
      </c>
      <c r="B19" t="s">
        <v>50</v>
      </c>
      <c r="C19" t="s">
        <v>17</v>
      </c>
      <c r="D19" t="s">
        <v>42</v>
      </c>
      <c r="E19" t="s">
        <v>1574</v>
      </c>
      <c r="F19" t="str" cm="1">
        <f t="array" ref="F19">_xlfn.IFS(Table1[[#This Row],[Country]]="United States","US",Table1[[#This Row],[Country]]="United Kingdom","UK",TRUE,"EU")</f>
        <v>US</v>
      </c>
      <c r="G19" cm="1">
        <f t="array" ref="G1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0" spans="1:7" x14ac:dyDescent="0.2">
      <c r="A20" t="s">
        <v>51</v>
      </c>
      <c r="B20" t="s">
        <v>52</v>
      </c>
      <c r="C20" t="s">
        <v>53</v>
      </c>
      <c r="D20" t="s">
        <v>11</v>
      </c>
      <c r="E20" t="s">
        <v>1574</v>
      </c>
      <c r="F20" t="str" cm="1">
        <f t="array" ref="F20">_xlfn.IFS(Table1[[#This Row],[Country]]="United States","US",Table1[[#This Row],[Country]]="United Kingdom","UK",TRUE,"EU")</f>
        <v>US</v>
      </c>
      <c r="G20" cm="1">
        <f t="array" ref="G2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21" spans="1:7" x14ac:dyDescent="0.2">
      <c r="A21" t="s">
        <v>54</v>
      </c>
      <c r="B21" t="s">
        <v>55</v>
      </c>
      <c r="C21" t="s">
        <v>24</v>
      </c>
      <c r="D21" t="s">
        <v>16</v>
      </c>
      <c r="E21" t="s">
        <v>1576</v>
      </c>
      <c r="F21" t="str" cm="1">
        <f t="array" ref="F21">_xlfn.IFS(Table1[[#This Row],[Country]]="United States","US",Table1[[#This Row],[Country]]="United Kingdom","UK",TRUE,"EU")</f>
        <v>EU</v>
      </c>
      <c r="G21" cm="1">
        <f t="array" ref="G2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2" spans="1:7" x14ac:dyDescent="0.2">
      <c r="A22" t="s">
        <v>56</v>
      </c>
      <c r="B22" t="s">
        <v>57</v>
      </c>
      <c r="C22" t="s">
        <v>24</v>
      </c>
      <c r="D22" t="s">
        <v>21</v>
      </c>
      <c r="E22" t="s">
        <v>1574</v>
      </c>
      <c r="F22" t="str" cm="1">
        <f t="array" ref="F22">_xlfn.IFS(Table1[[#This Row],[Country]]="United States","US",Table1[[#This Row],[Country]]="United Kingdom","UK",TRUE,"EU")</f>
        <v>US</v>
      </c>
      <c r="G22" cm="1">
        <f t="array" ref="G2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3" spans="1:7" x14ac:dyDescent="0.2">
      <c r="A23" t="s">
        <v>58</v>
      </c>
      <c r="B23" t="s">
        <v>59</v>
      </c>
      <c r="C23" t="s">
        <v>6</v>
      </c>
      <c r="D23" t="s">
        <v>25</v>
      </c>
      <c r="E23" t="s">
        <v>1574</v>
      </c>
      <c r="F23" t="str" cm="1">
        <f t="array" ref="F23">_xlfn.IFS(Table1[[#This Row],[Country]]="United States","US",Table1[[#This Row],[Country]]="United Kingdom","UK",TRUE,"EU")</f>
        <v>US</v>
      </c>
      <c r="G23" cm="1">
        <f t="array" ref="G2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4" spans="1:7" x14ac:dyDescent="0.2">
      <c r="A24" t="s">
        <v>60</v>
      </c>
      <c r="B24" t="s">
        <v>1577</v>
      </c>
      <c r="C24" t="s">
        <v>6</v>
      </c>
      <c r="D24" t="s">
        <v>18</v>
      </c>
      <c r="E24" t="s">
        <v>1574</v>
      </c>
      <c r="F24" t="str" cm="1">
        <f t="array" ref="F24">_xlfn.IFS(Table1[[#This Row],[Country]]="United States","US",Table1[[#This Row],[Country]]="United Kingdom","UK",TRUE,"EU")</f>
        <v>US</v>
      </c>
      <c r="G24" cm="1">
        <f t="array" ref="G2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5" spans="1:7" x14ac:dyDescent="0.2">
      <c r="A25" t="s">
        <v>61</v>
      </c>
      <c r="B25" t="s">
        <v>62</v>
      </c>
      <c r="C25" t="s">
        <v>6</v>
      </c>
      <c r="D25" t="s">
        <v>18</v>
      </c>
      <c r="E25" t="s">
        <v>1574</v>
      </c>
      <c r="F25" t="str" cm="1">
        <f t="array" ref="F25">_xlfn.IFS(Table1[[#This Row],[Country]]="United States","US",Table1[[#This Row],[Country]]="United Kingdom","UK",TRUE,"EU")</f>
        <v>US</v>
      </c>
      <c r="G25" cm="1">
        <f t="array" ref="G2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6" spans="1:7" x14ac:dyDescent="0.2">
      <c r="A26" t="s">
        <v>63</v>
      </c>
      <c r="B26" t="s">
        <v>1578</v>
      </c>
      <c r="C26" t="s">
        <v>6</v>
      </c>
      <c r="D26" t="s">
        <v>18</v>
      </c>
      <c r="E26" t="s">
        <v>1574</v>
      </c>
      <c r="F26" t="str" cm="1">
        <f t="array" ref="F26">_xlfn.IFS(Table1[[#This Row],[Country]]="United States","US",Table1[[#This Row],[Country]]="United Kingdom","UK",TRUE,"EU")</f>
        <v>US</v>
      </c>
      <c r="G26" cm="1">
        <f t="array" ref="G2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7" spans="1:7" x14ac:dyDescent="0.2">
      <c r="A27" t="s">
        <v>64</v>
      </c>
      <c r="B27" t="s">
        <v>65</v>
      </c>
      <c r="C27" t="s">
        <v>6</v>
      </c>
      <c r="D27" t="s">
        <v>25</v>
      </c>
      <c r="E27" t="s">
        <v>1579</v>
      </c>
      <c r="F27" t="str" cm="1">
        <f t="array" ref="F27">_xlfn.IFS(Table1[[#This Row],[Country]]="United States","US",Table1[[#This Row],[Country]]="United Kingdom","UK",TRUE,"EU")</f>
        <v>EU</v>
      </c>
      <c r="G27" cm="1">
        <f t="array" ref="G2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8" spans="1:7" x14ac:dyDescent="0.2">
      <c r="A28" t="s">
        <v>66</v>
      </c>
      <c r="B28" t="s">
        <v>67</v>
      </c>
      <c r="C28" t="s">
        <v>17</v>
      </c>
      <c r="D28" t="s">
        <v>7</v>
      </c>
      <c r="E28" t="s">
        <v>1574</v>
      </c>
      <c r="F28" t="str" cm="1">
        <f t="array" ref="F28">_xlfn.IFS(Table1[[#This Row],[Country]]="United States","US",Table1[[#This Row],[Country]]="United Kingdom","UK",TRUE,"EU")</f>
        <v>US</v>
      </c>
      <c r="G28" cm="1">
        <f t="array" ref="G2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9" spans="1:7" x14ac:dyDescent="0.2">
      <c r="A29" t="s">
        <v>68</v>
      </c>
      <c r="B29" t="s">
        <v>69</v>
      </c>
      <c r="C29" t="s">
        <v>6</v>
      </c>
      <c r="D29" t="s">
        <v>16</v>
      </c>
      <c r="E29" t="s">
        <v>1574</v>
      </c>
      <c r="F29" t="str" cm="1">
        <f t="array" ref="F29">_xlfn.IFS(Table1[[#This Row],[Country]]="United States","US",Table1[[#This Row],[Country]]="United Kingdom","UK",TRUE,"EU")</f>
        <v>US</v>
      </c>
      <c r="G29" cm="1">
        <f t="array" ref="G2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0" spans="1:7" x14ac:dyDescent="0.2">
      <c r="A30" t="s">
        <v>70</v>
      </c>
      <c r="B30" t="s">
        <v>71</v>
      </c>
      <c r="C30" t="s">
        <v>10</v>
      </c>
      <c r="D30" t="s">
        <v>11</v>
      </c>
      <c r="E30" t="s">
        <v>1574</v>
      </c>
      <c r="F30" t="str" cm="1">
        <f t="array" ref="F30">_xlfn.IFS(Table1[[#This Row],[Country]]="United States","US",Table1[[#This Row],[Country]]="United Kingdom","UK",TRUE,"EU")</f>
        <v>US</v>
      </c>
      <c r="G30" cm="1">
        <f t="array" ref="G3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31" spans="1:7" x14ac:dyDescent="0.2">
      <c r="A31" t="s">
        <v>72</v>
      </c>
      <c r="B31" t="s">
        <v>73</v>
      </c>
      <c r="C31" t="s">
        <v>17</v>
      </c>
      <c r="D31" t="s">
        <v>7</v>
      </c>
      <c r="E31" t="s">
        <v>1574</v>
      </c>
      <c r="F31" t="str" cm="1">
        <f t="array" ref="F31">_xlfn.IFS(Table1[[#This Row],[Country]]="United States","US",Table1[[#This Row],[Country]]="United Kingdom","UK",TRUE,"EU")</f>
        <v>US</v>
      </c>
      <c r="G31" cm="1">
        <f t="array" ref="G3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2" spans="1:7" x14ac:dyDescent="0.2">
      <c r="A32" t="s">
        <v>74</v>
      </c>
      <c r="B32" t="s">
        <v>75</v>
      </c>
      <c r="C32" t="s">
        <v>24</v>
      </c>
      <c r="D32" t="s">
        <v>11</v>
      </c>
      <c r="E32" t="s">
        <v>1574</v>
      </c>
      <c r="F32" t="str" cm="1">
        <f t="array" ref="F32">_xlfn.IFS(Table1[[#This Row],[Country]]="United States","US",Table1[[#This Row],[Country]]="United Kingdom","UK",TRUE,"EU")</f>
        <v>US</v>
      </c>
      <c r="G32" cm="1">
        <f t="array" ref="G3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33" spans="1:7" x14ac:dyDescent="0.2">
      <c r="A33" t="s">
        <v>76</v>
      </c>
      <c r="B33" t="s">
        <v>77</v>
      </c>
      <c r="C33" t="s">
        <v>6</v>
      </c>
      <c r="D33" t="s">
        <v>18</v>
      </c>
      <c r="E33" t="s">
        <v>1574</v>
      </c>
      <c r="F33" t="str" cm="1">
        <f t="array" ref="F33">_xlfn.IFS(Table1[[#This Row],[Country]]="United States","US",Table1[[#This Row],[Country]]="United Kingdom","UK",TRUE,"EU")</f>
        <v>US</v>
      </c>
      <c r="G33" cm="1">
        <f t="array" ref="G3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4" spans="1:7" x14ac:dyDescent="0.2">
      <c r="A34" t="s">
        <v>78</v>
      </c>
      <c r="B34" t="s">
        <v>79</v>
      </c>
      <c r="C34" t="s">
        <v>6</v>
      </c>
      <c r="D34" t="s">
        <v>18</v>
      </c>
      <c r="E34" t="s">
        <v>1574</v>
      </c>
      <c r="F34" t="str" cm="1">
        <f t="array" ref="F34">_xlfn.IFS(Table1[[#This Row],[Country]]="United States","US",Table1[[#This Row],[Country]]="United Kingdom","UK",TRUE,"EU")</f>
        <v>US</v>
      </c>
      <c r="G34" cm="1">
        <f t="array" ref="G3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5" spans="1:7" x14ac:dyDescent="0.2">
      <c r="A35" t="s">
        <v>80</v>
      </c>
      <c r="B35" t="s">
        <v>81</v>
      </c>
      <c r="C35" t="s">
        <v>6</v>
      </c>
      <c r="D35" t="s">
        <v>16</v>
      </c>
      <c r="E35" t="s">
        <v>1575</v>
      </c>
      <c r="F35" t="str" cm="1">
        <f t="array" ref="F35">_xlfn.IFS(Table1[[#This Row],[Country]]="United States","US",Table1[[#This Row],[Country]]="United Kingdom","UK",TRUE,"EU")</f>
        <v>UK</v>
      </c>
      <c r="G35" cm="1">
        <f t="array" ref="G3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6" spans="1:7" x14ac:dyDescent="0.2">
      <c r="A36" t="s">
        <v>82</v>
      </c>
      <c r="B36" t="s">
        <v>83</v>
      </c>
      <c r="C36" t="s">
        <v>6</v>
      </c>
      <c r="D36" t="s">
        <v>18</v>
      </c>
      <c r="E36" t="s">
        <v>1574</v>
      </c>
      <c r="F36" t="str" cm="1">
        <f t="array" ref="F36">_xlfn.IFS(Table1[[#This Row],[Country]]="United States","US",Table1[[#This Row],[Country]]="United Kingdom","UK",TRUE,"EU")</f>
        <v>US</v>
      </c>
      <c r="G36" cm="1">
        <f t="array" ref="G3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7" spans="1:7" x14ac:dyDescent="0.2">
      <c r="A37" t="s">
        <v>84</v>
      </c>
      <c r="B37" t="s">
        <v>85</v>
      </c>
      <c r="C37" t="s">
        <v>10</v>
      </c>
      <c r="D37" t="s">
        <v>33</v>
      </c>
      <c r="E37" t="s">
        <v>1574</v>
      </c>
      <c r="F37" t="str" cm="1">
        <f t="array" ref="F37">_xlfn.IFS(Table1[[#This Row],[Country]]="United States","US",Table1[[#This Row],[Country]]="United Kingdom","UK",TRUE,"EU")</f>
        <v>US</v>
      </c>
      <c r="G37" cm="1">
        <f t="array" ref="G3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38" spans="1:7" x14ac:dyDescent="0.2">
      <c r="A38" t="s">
        <v>86</v>
      </c>
      <c r="B38" t="s">
        <v>87</v>
      </c>
      <c r="C38" t="s">
        <v>17</v>
      </c>
      <c r="D38" t="s">
        <v>42</v>
      </c>
      <c r="E38" t="s">
        <v>1574</v>
      </c>
      <c r="F38" t="str" cm="1">
        <f t="array" ref="F38">_xlfn.IFS(Table1[[#This Row],[Country]]="United States","US",Table1[[#This Row],[Country]]="United Kingdom","UK",TRUE,"EU")</f>
        <v>US</v>
      </c>
      <c r="G38" cm="1">
        <f t="array" ref="G3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9" spans="1:7" x14ac:dyDescent="0.2">
      <c r="A39" t="s">
        <v>88</v>
      </c>
      <c r="B39" t="s">
        <v>89</v>
      </c>
      <c r="C39" t="s">
        <v>6</v>
      </c>
      <c r="D39" t="s">
        <v>18</v>
      </c>
      <c r="E39" t="s">
        <v>1575</v>
      </c>
      <c r="F39" t="str" cm="1">
        <f t="array" ref="F39">_xlfn.IFS(Table1[[#This Row],[Country]]="United States","US",Table1[[#This Row],[Country]]="United Kingdom","UK",TRUE,"EU")</f>
        <v>UK</v>
      </c>
      <c r="G39" cm="1">
        <f t="array" ref="G3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0" spans="1:7" x14ac:dyDescent="0.2">
      <c r="A40" t="s">
        <v>90</v>
      </c>
      <c r="B40" t="s">
        <v>91</v>
      </c>
      <c r="C40" t="s">
        <v>6</v>
      </c>
      <c r="D40" t="s">
        <v>25</v>
      </c>
      <c r="E40" t="s">
        <v>1575</v>
      </c>
      <c r="F40" t="str" cm="1">
        <f t="array" ref="F40">_xlfn.IFS(Table1[[#This Row],[Country]]="United States","US",Table1[[#This Row],[Country]]="United Kingdom","UK",TRUE,"EU")</f>
        <v>UK</v>
      </c>
      <c r="G40" cm="1">
        <f t="array" ref="G4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1" spans="1:7" x14ac:dyDescent="0.2">
      <c r="A41" t="s">
        <v>92</v>
      </c>
      <c r="B41" t="s">
        <v>93</v>
      </c>
      <c r="C41" t="s">
        <v>17</v>
      </c>
      <c r="D41" t="s">
        <v>7</v>
      </c>
      <c r="E41" t="s">
        <v>1579</v>
      </c>
      <c r="F41" t="str" cm="1">
        <f t="array" ref="F41">_xlfn.IFS(Table1[[#This Row],[Country]]="United States","US",Table1[[#This Row],[Country]]="United Kingdom","UK",TRUE,"EU")</f>
        <v>EU</v>
      </c>
      <c r="G41" cm="1">
        <f t="array" ref="G4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2" spans="1:7" x14ac:dyDescent="0.2">
      <c r="A42" t="s">
        <v>94</v>
      </c>
      <c r="B42" t="s">
        <v>95</v>
      </c>
      <c r="C42" t="s">
        <v>6</v>
      </c>
      <c r="D42" t="s">
        <v>25</v>
      </c>
      <c r="E42" t="s">
        <v>1575</v>
      </c>
      <c r="F42" t="str" cm="1">
        <f t="array" ref="F42">_xlfn.IFS(Table1[[#This Row],[Country]]="United States","US",Table1[[#This Row],[Country]]="United Kingdom","UK",TRUE,"EU")</f>
        <v>UK</v>
      </c>
      <c r="G42" cm="1">
        <f t="array" ref="G4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3" spans="1:7" x14ac:dyDescent="0.2">
      <c r="A43" t="s">
        <v>96</v>
      </c>
      <c r="B43" t="s">
        <v>97</v>
      </c>
      <c r="C43" t="s">
        <v>10</v>
      </c>
      <c r="D43" t="s">
        <v>11</v>
      </c>
      <c r="E43" t="s">
        <v>1575</v>
      </c>
      <c r="F43" t="str" cm="1">
        <f t="array" ref="F43">_xlfn.IFS(Table1[[#This Row],[Country]]="United States","US",Table1[[#This Row],[Country]]="United Kingdom","UK",TRUE,"EU")</f>
        <v>UK</v>
      </c>
      <c r="G43" cm="1">
        <f t="array" ref="G4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44" spans="1:7" x14ac:dyDescent="0.2">
      <c r="A44" t="s">
        <v>98</v>
      </c>
      <c r="B44" t="s">
        <v>99</v>
      </c>
      <c r="C44" t="s">
        <v>17</v>
      </c>
      <c r="D44" t="s">
        <v>33</v>
      </c>
      <c r="E44" t="s">
        <v>1579</v>
      </c>
      <c r="F44" t="str" cm="1">
        <f t="array" ref="F44">_xlfn.IFS(Table1[[#This Row],[Country]]="United States","US",Table1[[#This Row],[Country]]="United Kingdom","UK",TRUE,"EU")</f>
        <v>EU</v>
      </c>
      <c r="G44" cm="1">
        <f t="array" ref="G4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45" spans="1:7" x14ac:dyDescent="0.2">
      <c r="A45" t="s">
        <v>100</v>
      </c>
      <c r="B45" t="s">
        <v>101</v>
      </c>
      <c r="C45" t="s">
        <v>6</v>
      </c>
      <c r="D45" t="s">
        <v>25</v>
      </c>
      <c r="E45" t="s">
        <v>1576</v>
      </c>
      <c r="F45" t="str" cm="1">
        <f t="array" ref="F45">_xlfn.IFS(Table1[[#This Row],[Country]]="United States","US",Table1[[#This Row],[Country]]="United Kingdom","UK",TRUE,"EU")</f>
        <v>EU</v>
      </c>
      <c r="G45" cm="1">
        <f t="array" ref="G4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6" spans="1:7" x14ac:dyDescent="0.2">
      <c r="A46" t="s">
        <v>102</v>
      </c>
      <c r="B46" t="s">
        <v>103</v>
      </c>
      <c r="C46" t="s">
        <v>10</v>
      </c>
      <c r="D46" t="s">
        <v>7</v>
      </c>
      <c r="E46" t="s">
        <v>1576</v>
      </c>
      <c r="F46" t="str" cm="1">
        <f t="array" ref="F46">_xlfn.IFS(Table1[[#This Row],[Country]]="United States","US",Table1[[#This Row],[Country]]="United Kingdom","UK",TRUE,"EU")</f>
        <v>EU</v>
      </c>
      <c r="G46" cm="1">
        <f t="array" ref="G4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7" spans="1:7" x14ac:dyDescent="0.2">
      <c r="A47" t="s">
        <v>104</v>
      </c>
      <c r="B47" t="s">
        <v>105</v>
      </c>
      <c r="C47" t="s">
        <v>6</v>
      </c>
      <c r="D47" t="s">
        <v>18</v>
      </c>
      <c r="E47" t="s">
        <v>1574</v>
      </c>
      <c r="F47" t="str" cm="1">
        <f t="array" ref="F47">_xlfn.IFS(Table1[[#This Row],[Country]]="United States","US",Table1[[#This Row],[Country]]="United Kingdom","UK",TRUE,"EU")</f>
        <v>US</v>
      </c>
      <c r="G47" cm="1">
        <f t="array" ref="G4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8" spans="1:7" x14ac:dyDescent="0.2">
      <c r="A48" t="s">
        <v>106</v>
      </c>
      <c r="B48" t="s">
        <v>107</v>
      </c>
      <c r="C48" t="s">
        <v>17</v>
      </c>
      <c r="D48" t="s">
        <v>11</v>
      </c>
      <c r="E48" t="s">
        <v>1574</v>
      </c>
      <c r="F48" t="str" cm="1">
        <f t="array" ref="F48">_xlfn.IFS(Table1[[#This Row],[Country]]="United States","US",Table1[[#This Row],[Country]]="United Kingdom","UK",TRUE,"EU")</f>
        <v>US</v>
      </c>
      <c r="G48" cm="1">
        <f t="array" ref="G4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49" spans="1:7" x14ac:dyDescent="0.2">
      <c r="A49" t="s">
        <v>108</v>
      </c>
      <c r="B49" t="s">
        <v>109</v>
      </c>
      <c r="C49" t="s">
        <v>17</v>
      </c>
      <c r="D49" t="s">
        <v>18</v>
      </c>
      <c r="E49" t="s">
        <v>1574</v>
      </c>
      <c r="F49" t="str" cm="1">
        <f t="array" ref="F49">_xlfn.IFS(Table1[[#This Row],[Country]]="United States","US",Table1[[#This Row],[Country]]="United Kingdom","UK",TRUE,"EU")</f>
        <v>US</v>
      </c>
      <c r="G49" cm="1">
        <f t="array" ref="G4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0" spans="1:7" x14ac:dyDescent="0.2">
      <c r="A50" t="s">
        <v>110</v>
      </c>
      <c r="B50" t="s">
        <v>111</v>
      </c>
      <c r="C50" t="s">
        <v>17</v>
      </c>
      <c r="D50" t="s">
        <v>42</v>
      </c>
      <c r="E50" t="s">
        <v>1574</v>
      </c>
      <c r="F50" t="str" cm="1">
        <f t="array" ref="F50">_xlfn.IFS(Table1[[#This Row],[Country]]="United States","US",Table1[[#This Row],[Country]]="United Kingdom","UK",TRUE,"EU")</f>
        <v>US</v>
      </c>
      <c r="G50" cm="1">
        <f t="array" ref="G5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1" spans="1:7" x14ac:dyDescent="0.2">
      <c r="A51" t="s">
        <v>112</v>
      </c>
      <c r="B51" t="s">
        <v>113</v>
      </c>
      <c r="C51" t="s">
        <v>17</v>
      </c>
      <c r="D51" t="s">
        <v>18</v>
      </c>
      <c r="E51" t="s">
        <v>1574</v>
      </c>
      <c r="F51" t="str" cm="1">
        <f t="array" ref="F51">_xlfn.IFS(Table1[[#This Row],[Country]]="United States","US",Table1[[#This Row],[Country]]="United Kingdom","UK",TRUE,"EU")</f>
        <v>US</v>
      </c>
      <c r="G51" cm="1">
        <f t="array" ref="G5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2" spans="1:7" x14ac:dyDescent="0.2">
      <c r="A52" t="s">
        <v>114</v>
      </c>
      <c r="B52" t="s">
        <v>115</v>
      </c>
      <c r="C52" t="s">
        <v>17</v>
      </c>
      <c r="D52" t="s">
        <v>16</v>
      </c>
      <c r="E52" t="s">
        <v>1575</v>
      </c>
      <c r="F52" t="str" cm="1">
        <f t="array" ref="F52">_xlfn.IFS(Table1[[#This Row],[Country]]="United States","US",Table1[[#This Row],[Country]]="United Kingdom","UK",TRUE,"EU")</f>
        <v>UK</v>
      </c>
      <c r="G52" cm="1">
        <f t="array" ref="G5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3" spans="1:7" x14ac:dyDescent="0.2">
      <c r="A53" t="s">
        <v>116</v>
      </c>
      <c r="B53" t="s">
        <v>117</v>
      </c>
      <c r="C53" t="s">
        <v>17</v>
      </c>
      <c r="D53" t="s">
        <v>118</v>
      </c>
      <c r="E53" t="s">
        <v>1574</v>
      </c>
      <c r="F53" t="str" cm="1">
        <f t="array" ref="F53">_xlfn.IFS(Table1[[#This Row],[Country]]="United States","US",Table1[[#This Row],[Country]]="United Kingdom","UK",TRUE,"EU")</f>
        <v>US</v>
      </c>
      <c r="G53" cm="1">
        <f t="array" ref="G5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4" spans="1:7" x14ac:dyDescent="0.2">
      <c r="A54" t="s">
        <v>119</v>
      </c>
      <c r="B54" t="s">
        <v>120</v>
      </c>
      <c r="C54" t="s">
        <v>17</v>
      </c>
      <c r="D54" t="s">
        <v>42</v>
      </c>
      <c r="E54" t="s">
        <v>1574</v>
      </c>
      <c r="F54" t="str" cm="1">
        <f t="array" ref="F54">_xlfn.IFS(Table1[[#This Row],[Country]]="United States","US",Table1[[#This Row],[Country]]="United Kingdom","UK",TRUE,"EU")</f>
        <v>US</v>
      </c>
      <c r="G54" cm="1">
        <f t="array" ref="G5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5" spans="1:7" x14ac:dyDescent="0.2">
      <c r="A55" t="s">
        <v>121</v>
      </c>
      <c r="B55" t="s">
        <v>121</v>
      </c>
      <c r="C55" t="s">
        <v>17</v>
      </c>
      <c r="D55" t="s">
        <v>42</v>
      </c>
      <c r="E55" t="s">
        <v>1576</v>
      </c>
      <c r="F55" t="str" cm="1">
        <f t="array" ref="F55">_xlfn.IFS(Table1[[#This Row],[Country]]="United States","US",Table1[[#This Row],[Country]]="United Kingdom","UK",TRUE,"EU")</f>
        <v>EU</v>
      </c>
      <c r="G55" cm="1">
        <f t="array" ref="G5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6" spans="1:7" x14ac:dyDescent="0.2">
      <c r="A56" t="s">
        <v>122</v>
      </c>
      <c r="B56" t="s">
        <v>123</v>
      </c>
      <c r="C56" t="s">
        <v>10</v>
      </c>
      <c r="D56" t="s">
        <v>11</v>
      </c>
      <c r="E56" t="s">
        <v>1576</v>
      </c>
      <c r="F56" t="str" cm="1">
        <f t="array" ref="F56">_xlfn.IFS(Table1[[#This Row],[Country]]="United States","US",Table1[[#This Row],[Country]]="United Kingdom","UK",TRUE,"EU")</f>
        <v>EU</v>
      </c>
      <c r="G56" cm="1">
        <f t="array" ref="G5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7" spans="1:7" x14ac:dyDescent="0.2">
      <c r="A57" t="s">
        <v>124</v>
      </c>
      <c r="B57" t="s">
        <v>125</v>
      </c>
      <c r="C57" t="s">
        <v>24</v>
      </c>
      <c r="D57" t="s">
        <v>33</v>
      </c>
      <c r="E57" t="s">
        <v>1576</v>
      </c>
      <c r="F57" t="str" cm="1">
        <f t="array" ref="F57">_xlfn.IFS(Table1[[#This Row],[Country]]="United States","US",Table1[[#This Row],[Country]]="United Kingdom","UK",TRUE,"EU")</f>
        <v>EU</v>
      </c>
      <c r="G57" cm="1">
        <f t="array" ref="G5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8" spans="1:7" x14ac:dyDescent="0.2">
      <c r="A58" t="s">
        <v>126</v>
      </c>
      <c r="B58" t="s">
        <v>127</v>
      </c>
      <c r="C58" t="s">
        <v>17</v>
      </c>
      <c r="D58" t="s">
        <v>18</v>
      </c>
      <c r="E58" t="s">
        <v>1574</v>
      </c>
      <c r="F58" t="str" cm="1">
        <f t="array" ref="F58">_xlfn.IFS(Table1[[#This Row],[Country]]="United States","US",Table1[[#This Row],[Country]]="United Kingdom","UK",TRUE,"EU")</f>
        <v>US</v>
      </c>
      <c r="G58" cm="1">
        <f t="array" ref="G5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9" spans="1:7" x14ac:dyDescent="0.2">
      <c r="A59" t="s">
        <v>128</v>
      </c>
      <c r="B59" t="s">
        <v>129</v>
      </c>
      <c r="C59" t="s">
        <v>17</v>
      </c>
      <c r="D59" t="s">
        <v>16</v>
      </c>
      <c r="E59" t="s">
        <v>1574</v>
      </c>
      <c r="F59" t="str" cm="1">
        <f t="array" ref="F59">_xlfn.IFS(Table1[[#This Row],[Country]]="United States","US",Table1[[#This Row],[Country]]="United Kingdom","UK",TRUE,"EU")</f>
        <v>US</v>
      </c>
      <c r="G59" cm="1">
        <f t="array" ref="G5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0" spans="1:7" x14ac:dyDescent="0.2">
      <c r="A60" t="s">
        <v>130</v>
      </c>
      <c r="B60" t="s">
        <v>131</v>
      </c>
      <c r="C60" t="s">
        <v>6</v>
      </c>
      <c r="D60" t="s">
        <v>18</v>
      </c>
      <c r="E60" t="s">
        <v>1574</v>
      </c>
      <c r="F60" t="str" cm="1">
        <f t="array" ref="F60">_xlfn.IFS(Table1[[#This Row],[Country]]="United States","US",Table1[[#This Row],[Country]]="United Kingdom","UK",TRUE,"EU")</f>
        <v>US</v>
      </c>
      <c r="G60" cm="1">
        <f t="array" ref="G6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1" spans="1:7" x14ac:dyDescent="0.2">
      <c r="A61" t="s">
        <v>132</v>
      </c>
      <c r="B61" t="s">
        <v>133</v>
      </c>
      <c r="C61" t="s">
        <v>6</v>
      </c>
      <c r="D61" t="s">
        <v>25</v>
      </c>
      <c r="E61" t="s">
        <v>1576</v>
      </c>
      <c r="F61" t="str" cm="1">
        <f t="array" ref="F61">_xlfn.IFS(Table1[[#This Row],[Country]]="United States","US",Table1[[#This Row],[Country]]="United Kingdom","UK",TRUE,"EU")</f>
        <v>EU</v>
      </c>
      <c r="G61" cm="1">
        <f t="array" ref="G6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2" spans="1:7" x14ac:dyDescent="0.2">
      <c r="A62" t="s">
        <v>134</v>
      </c>
      <c r="B62" t="s">
        <v>135</v>
      </c>
      <c r="C62" t="s">
        <v>24</v>
      </c>
      <c r="D62" t="s">
        <v>16</v>
      </c>
      <c r="E62" t="s">
        <v>1574</v>
      </c>
      <c r="F62" t="str" cm="1">
        <f t="array" ref="F62">_xlfn.IFS(Table1[[#This Row],[Country]]="United States","US",Table1[[#This Row],[Country]]="United Kingdom","UK",TRUE,"EU")</f>
        <v>US</v>
      </c>
      <c r="G62" cm="1">
        <f t="array" ref="G6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3" spans="1:7" x14ac:dyDescent="0.2">
      <c r="A63" t="s">
        <v>136</v>
      </c>
      <c r="B63" t="s">
        <v>137</v>
      </c>
      <c r="C63" t="s">
        <v>6</v>
      </c>
      <c r="D63" t="s">
        <v>7</v>
      </c>
      <c r="E63" t="s">
        <v>1574</v>
      </c>
      <c r="F63" t="str" cm="1">
        <f t="array" ref="F63">_xlfn.IFS(Table1[[#This Row],[Country]]="United States","US",Table1[[#This Row],[Country]]="United Kingdom","UK",TRUE,"EU")</f>
        <v>US</v>
      </c>
      <c r="G63" cm="1">
        <f t="array" ref="G6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4" spans="1:7" x14ac:dyDescent="0.2">
      <c r="A64" t="s">
        <v>138</v>
      </c>
      <c r="B64" t="s">
        <v>139</v>
      </c>
      <c r="C64" t="s">
        <v>6</v>
      </c>
      <c r="D64" t="s">
        <v>25</v>
      </c>
      <c r="E64" t="s">
        <v>1575</v>
      </c>
      <c r="F64" t="str" cm="1">
        <f t="array" ref="F64">_xlfn.IFS(Table1[[#This Row],[Country]]="United States","US",Table1[[#This Row],[Country]]="United Kingdom","UK",TRUE,"EU")</f>
        <v>UK</v>
      </c>
      <c r="G64" cm="1">
        <f t="array" ref="G6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5" spans="1:7" x14ac:dyDescent="0.2">
      <c r="A65" t="s">
        <v>140</v>
      </c>
      <c r="B65" t="s">
        <v>141</v>
      </c>
      <c r="C65" t="s">
        <v>17</v>
      </c>
      <c r="D65" t="s">
        <v>25</v>
      </c>
      <c r="E65" t="s">
        <v>1574</v>
      </c>
      <c r="F65" t="str" cm="1">
        <f t="array" ref="F65">_xlfn.IFS(Table1[[#This Row],[Country]]="United States","US",Table1[[#This Row],[Country]]="United Kingdom","UK",TRUE,"EU")</f>
        <v>US</v>
      </c>
      <c r="G65" cm="1">
        <f t="array" ref="G6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6" spans="1:7" x14ac:dyDescent="0.2">
      <c r="A66" t="s">
        <v>142</v>
      </c>
      <c r="B66" t="s">
        <v>143</v>
      </c>
      <c r="C66" t="s">
        <v>17</v>
      </c>
      <c r="D66" t="s">
        <v>7</v>
      </c>
      <c r="E66" t="s">
        <v>1579</v>
      </c>
      <c r="F66" t="str" cm="1">
        <f t="array" ref="F66">_xlfn.IFS(Table1[[#This Row],[Country]]="United States","US",Table1[[#This Row],[Country]]="United Kingdom","UK",TRUE,"EU")</f>
        <v>EU</v>
      </c>
      <c r="G66" cm="1">
        <f t="array" ref="G6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7" spans="1:7" x14ac:dyDescent="0.2">
      <c r="A67" t="s">
        <v>144</v>
      </c>
      <c r="B67" t="s">
        <v>145</v>
      </c>
      <c r="C67" t="s">
        <v>24</v>
      </c>
      <c r="D67" t="s">
        <v>11</v>
      </c>
      <c r="E67" t="s">
        <v>1574</v>
      </c>
      <c r="F67" t="str" cm="1">
        <f t="array" ref="F67">_xlfn.IFS(Table1[[#This Row],[Country]]="United States","US",Table1[[#This Row],[Country]]="United Kingdom","UK",TRUE,"EU")</f>
        <v>US</v>
      </c>
      <c r="G67" cm="1">
        <f t="array" ref="G6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68" spans="1:7" x14ac:dyDescent="0.2">
      <c r="A68" t="s">
        <v>146</v>
      </c>
      <c r="B68" t="s">
        <v>147</v>
      </c>
      <c r="C68" t="s">
        <v>24</v>
      </c>
      <c r="D68" t="s">
        <v>42</v>
      </c>
      <c r="E68" t="s">
        <v>1576</v>
      </c>
      <c r="F68" t="str" cm="1">
        <f t="array" ref="F68">_xlfn.IFS(Table1[[#This Row],[Country]]="United States","US",Table1[[#This Row],[Country]]="United Kingdom","UK",TRUE,"EU")</f>
        <v>EU</v>
      </c>
      <c r="G68" cm="1">
        <f t="array" ref="G6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9" spans="1:7" x14ac:dyDescent="0.2">
      <c r="A69" t="s">
        <v>148</v>
      </c>
      <c r="B69" t="s">
        <v>149</v>
      </c>
      <c r="C69" t="s">
        <v>6</v>
      </c>
      <c r="D69" t="s">
        <v>25</v>
      </c>
      <c r="E69" t="s">
        <v>1574</v>
      </c>
      <c r="F69" t="str" cm="1">
        <f t="array" ref="F69">_xlfn.IFS(Table1[[#This Row],[Country]]="United States","US",Table1[[#This Row],[Country]]="United Kingdom","UK",TRUE,"EU")</f>
        <v>US</v>
      </c>
      <c r="G69" cm="1">
        <f t="array" ref="G6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70" spans="1:7" x14ac:dyDescent="0.2">
      <c r="A70" t="s">
        <v>150</v>
      </c>
      <c r="B70" t="s">
        <v>151</v>
      </c>
      <c r="C70" t="s">
        <v>17</v>
      </c>
      <c r="D70" t="s">
        <v>11</v>
      </c>
      <c r="E70" t="s">
        <v>1574</v>
      </c>
      <c r="F70" t="str" cm="1">
        <f t="array" ref="F70">_xlfn.IFS(Table1[[#This Row],[Country]]="United States","US",Table1[[#This Row],[Country]]="United Kingdom","UK",TRUE,"EU")</f>
        <v>US</v>
      </c>
      <c r="G70" cm="1">
        <f t="array" ref="G7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71" spans="1:7" x14ac:dyDescent="0.2">
      <c r="A71" t="s">
        <v>152</v>
      </c>
      <c r="B71" t="s">
        <v>153</v>
      </c>
      <c r="C71" t="s">
        <v>6</v>
      </c>
      <c r="D71" t="s">
        <v>7</v>
      </c>
      <c r="E71" t="s">
        <v>1575</v>
      </c>
      <c r="F71" t="str" cm="1">
        <f t="array" ref="F71">_xlfn.IFS(Table1[[#This Row],[Country]]="United States","US",Table1[[#This Row],[Country]]="United Kingdom","UK",TRUE,"EU")</f>
        <v>UK</v>
      </c>
      <c r="G71" cm="1">
        <f t="array" ref="G7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2" spans="1:7" x14ac:dyDescent="0.2">
      <c r="A72" t="s">
        <v>154</v>
      </c>
      <c r="B72" t="s">
        <v>155</v>
      </c>
      <c r="C72" t="s">
        <v>17</v>
      </c>
      <c r="D72" t="s">
        <v>33</v>
      </c>
      <c r="E72" t="s">
        <v>1575</v>
      </c>
      <c r="F72" t="str" cm="1">
        <f t="array" ref="F72">_xlfn.IFS(Table1[[#This Row],[Country]]="United States","US",Table1[[#This Row],[Country]]="United Kingdom","UK",TRUE,"EU")</f>
        <v>UK</v>
      </c>
      <c r="G72" cm="1">
        <f t="array" ref="G7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73" spans="1:7" x14ac:dyDescent="0.2">
      <c r="A73" t="s">
        <v>156</v>
      </c>
      <c r="B73" t="s">
        <v>157</v>
      </c>
      <c r="C73" t="s">
        <v>17</v>
      </c>
      <c r="D73" t="s">
        <v>118</v>
      </c>
      <c r="E73" t="s">
        <v>1575</v>
      </c>
      <c r="F73" t="str" cm="1">
        <f t="array" ref="F73">_xlfn.IFS(Table1[[#This Row],[Country]]="United States","US",Table1[[#This Row],[Country]]="United Kingdom","UK",TRUE,"EU")</f>
        <v>UK</v>
      </c>
      <c r="G73" cm="1">
        <f t="array" ref="G7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4" spans="1:7" x14ac:dyDescent="0.2">
      <c r="A74" t="s">
        <v>158</v>
      </c>
      <c r="B74" t="s">
        <v>159</v>
      </c>
      <c r="C74" t="s">
        <v>17</v>
      </c>
      <c r="D74" t="s">
        <v>16</v>
      </c>
      <c r="E74" t="s">
        <v>1574</v>
      </c>
      <c r="F74" t="str" cm="1">
        <f t="array" ref="F74">_xlfn.IFS(Table1[[#This Row],[Country]]="United States","US",Table1[[#This Row],[Country]]="United Kingdom","UK",TRUE,"EU")</f>
        <v>US</v>
      </c>
      <c r="G74" cm="1">
        <f t="array" ref="G7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5" spans="1:7" x14ac:dyDescent="0.2">
      <c r="A75" t="s">
        <v>160</v>
      </c>
      <c r="B75" t="s">
        <v>161</v>
      </c>
      <c r="C75" t="s">
        <v>6</v>
      </c>
      <c r="D75" t="s">
        <v>33</v>
      </c>
      <c r="E75" t="s">
        <v>1574</v>
      </c>
      <c r="F75" t="str" cm="1">
        <f t="array" ref="F75">_xlfn.IFS(Table1[[#This Row],[Country]]="United States","US",Table1[[#This Row],[Country]]="United Kingdom","UK",TRUE,"EU")</f>
        <v>US</v>
      </c>
      <c r="G75" cm="1">
        <f t="array" ref="G7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76" spans="1:7" x14ac:dyDescent="0.2">
      <c r="A76" t="s">
        <v>162</v>
      </c>
      <c r="B76" t="s">
        <v>163</v>
      </c>
      <c r="C76" t="s">
        <v>17</v>
      </c>
      <c r="D76" t="s">
        <v>7</v>
      </c>
      <c r="E76" t="s">
        <v>1574</v>
      </c>
      <c r="F76" t="str" cm="1">
        <f t="array" ref="F76">_xlfn.IFS(Table1[[#This Row],[Country]]="United States","US",Table1[[#This Row],[Country]]="United Kingdom","UK",TRUE,"EU")</f>
        <v>US</v>
      </c>
      <c r="G76" cm="1">
        <f t="array" ref="G7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7" spans="1:7" x14ac:dyDescent="0.2">
      <c r="A77" t="s">
        <v>164</v>
      </c>
      <c r="B77" t="s">
        <v>165</v>
      </c>
      <c r="C77" t="s">
        <v>17</v>
      </c>
      <c r="D77" t="s">
        <v>21</v>
      </c>
      <c r="E77" t="s">
        <v>1574</v>
      </c>
      <c r="F77" t="str" cm="1">
        <f t="array" ref="F77">_xlfn.IFS(Table1[[#This Row],[Country]]="United States","US",Table1[[#This Row],[Country]]="United Kingdom","UK",TRUE,"EU")</f>
        <v>US</v>
      </c>
      <c r="G77" cm="1">
        <f t="array" ref="G7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78" spans="1:7" x14ac:dyDescent="0.2">
      <c r="A78" t="s">
        <v>166</v>
      </c>
      <c r="B78" t="s">
        <v>167</v>
      </c>
      <c r="C78" t="s">
        <v>17</v>
      </c>
      <c r="D78" t="s">
        <v>33</v>
      </c>
      <c r="E78" t="s">
        <v>1574</v>
      </c>
      <c r="F78" t="str" cm="1">
        <f t="array" ref="F78">_xlfn.IFS(Table1[[#This Row],[Country]]="United States","US",Table1[[#This Row],[Country]]="United Kingdom","UK",TRUE,"EU")</f>
        <v>US</v>
      </c>
      <c r="G78" cm="1">
        <f t="array" ref="G7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79" spans="1:7" x14ac:dyDescent="0.2">
      <c r="A79" t="s">
        <v>168</v>
      </c>
      <c r="B79" t="s">
        <v>169</v>
      </c>
      <c r="C79" t="s">
        <v>6</v>
      </c>
      <c r="D79" t="s">
        <v>25</v>
      </c>
      <c r="E79" t="s">
        <v>1575</v>
      </c>
      <c r="F79" t="str" cm="1">
        <f t="array" ref="F79">_xlfn.IFS(Table1[[#This Row],[Country]]="United States","US",Table1[[#This Row],[Country]]="United Kingdom","UK",TRUE,"EU")</f>
        <v>UK</v>
      </c>
      <c r="G79" cm="1">
        <f t="array" ref="G7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80" spans="1:7" x14ac:dyDescent="0.2">
      <c r="A80" t="s">
        <v>170</v>
      </c>
      <c r="B80" t="s">
        <v>171</v>
      </c>
      <c r="C80" t="s">
        <v>24</v>
      </c>
      <c r="D80" t="s">
        <v>33</v>
      </c>
      <c r="E80" t="s">
        <v>1574</v>
      </c>
      <c r="F80" t="str" cm="1">
        <f t="array" ref="F80">_xlfn.IFS(Table1[[#This Row],[Country]]="United States","US",Table1[[#This Row],[Country]]="United Kingdom","UK",TRUE,"EU")</f>
        <v>US</v>
      </c>
      <c r="G80" cm="1">
        <f t="array" ref="G8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81" spans="1:7" x14ac:dyDescent="0.2">
      <c r="A81" t="s">
        <v>172</v>
      </c>
      <c r="B81" t="s">
        <v>173</v>
      </c>
      <c r="C81" t="s">
        <v>17</v>
      </c>
      <c r="D81" t="s">
        <v>18</v>
      </c>
      <c r="E81" t="s">
        <v>1574</v>
      </c>
      <c r="F81" t="str" cm="1">
        <f t="array" ref="F81">_xlfn.IFS(Table1[[#This Row],[Country]]="United States","US",Table1[[#This Row],[Country]]="United Kingdom","UK",TRUE,"EU")</f>
        <v>US</v>
      </c>
      <c r="G81" cm="1">
        <f t="array" ref="G8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2" spans="1:7" x14ac:dyDescent="0.2">
      <c r="A82" t="s">
        <v>174</v>
      </c>
      <c r="B82" t="s">
        <v>175</v>
      </c>
      <c r="C82" t="s">
        <v>6</v>
      </c>
      <c r="D82" t="s">
        <v>25</v>
      </c>
      <c r="E82" t="s">
        <v>1574</v>
      </c>
      <c r="F82" t="str" cm="1">
        <f t="array" ref="F82">_xlfn.IFS(Table1[[#This Row],[Country]]="United States","US",Table1[[#This Row],[Country]]="United Kingdom","UK",TRUE,"EU")</f>
        <v>US</v>
      </c>
      <c r="G82" cm="1">
        <f t="array" ref="G8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83" spans="1:7" x14ac:dyDescent="0.2">
      <c r="A83" t="s">
        <v>176</v>
      </c>
      <c r="B83" t="s">
        <v>177</v>
      </c>
      <c r="C83" t="s">
        <v>17</v>
      </c>
      <c r="D83" t="s">
        <v>7</v>
      </c>
      <c r="E83" t="s">
        <v>1579</v>
      </c>
      <c r="F83" t="str" cm="1">
        <f t="array" ref="F83">_xlfn.IFS(Table1[[#This Row],[Country]]="United States","US",Table1[[#This Row],[Country]]="United Kingdom","UK",TRUE,"EU")</f>
        <v>EU</v>
      </c>
      <c r="G83" cm="1">
        <f t="array" ref="G8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4" spans="1:7" x14ac:dyDescent="0.2">
      <c r="A84" t="s">
        <v>178</v>
      </c>
      <c r="B84" t="s">
        <v>179</v>
      </c>
      <c r="C84" t="s">
        <v>24</v>
      </c>
      <c r="D84" t="s">
        <v>7</v>
      </c>
      <c r="E84" t="s">
        <v>1574</v>
      </c>
      <c r="F84" t="str" cm="1">
        <f t="array" ref="F84">_xlfn.IFS(Table1[[#This Row],[Country]]="United States","US",Table1[[#This Row],[Country]]="United Kingdom","UK",TRUE,"EU")</f>
        <v>US</v>
      </c>
      <c r="G84" cm="1">
        <f t="array" ref="G8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5" spans="1:7" x14ac:dyDescent="0.2">
      <c r="A85" t="s">
        <v>180</v>
      </c>
      <c r="B85" t="s">
        <v>181</v>
      </c>
      <c r="C85" t="s">
        <v>10</v>
      </c>
      <c r="D85" t="s">
        <v>7</v>
      </c>
      <c r="E85" t="s">
        <v>1574</v>
      </c>
      <c r="F85" t="str" cm="1">
        <f t="array" ref="F85">_xlfn.IFS(Table1[[#This Row],[Country]]="United States","US",Table1[[#This Row],[Country]]="United Kingdom","UK",TRUE,"EU")</f>
        <v>US</v>
      </c>
      <c r="G85" cm="1">
        <f t="array" ref="G8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6" spans="1:7" x14ac:dyDescent="0.2">
      <c r="A86" t="s">
        <v>182</v>
      </c>
      <c r="B86" t="s">
        <v>183</v>
      </c>
      <c r="C86" t="s">
        <v>24</v>
      </c>
      <c r="D86" t="s">
        <v>7</v>
      </c>
      <c r="E86" t="s">
        <v>1574</v>
      </c>
      <c r="F86" t="str" cm="1">
        <f t="array" ref="F86">_xlfn.IFS(Table1[[#This Row],[Country]]="United States","US",Table1[[#This Row],[Country]]="United Kingdom","UK",TRUE,"EU")</f>
        <v>US</v>
      </c>
      <c r="G86" cm="1">
        <f t="array" ref="G8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7" spans="1:7" x14ac:dyDescent="0.2">
      <c r="A87" t="s">
        <v>184</v>
      </c>
      <c r="B87" t="s">
        <v>185</v>
      </c>
      <c r="C87" t="s">
        <v>17</v>
      </c>
      <c r="D87" t="s">
        <v>7</v>
      </c>
      <c r="E87" t="s">
        <v>1579</v>
      </c>
      <c r="F87" t="str" cm="1">
        <f t="array" ref="F87">_xlfn.IFS(Table1[[#This Row],[Country]]="United States","US",Table1[[#This Row],[Country]]="United Kingdom","UK",TRUE,"EU")</f>
        <v>EU</v>
      </c>
      <c r="G87" cm="1">
        <f t="array" ref="G8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8" spans="1:7" x14ac:dyDescent="0.2">
      <c r="A88" t="s">
        <v>186</v>
      </c>
      <c r="B88" t="s">
        <v>187</v>
      </c>
      <c r="C88" t="s">
        <v>6</v>
      </c>
      <c r="D88" t="s">
        <v>188</v>
      </c>
      <c r="E88" t="s">
        <v>1574</v>
      </c>
      <c r="F88" t="str" cm="1">
        <f t="array" ref="F88">_xlfn.IFS(Table1[[#This Row],[Country]]="United States","US",Table1[[#This Row],[Country]]="United Kingdom","UK",TRUE,"EU")</f>
        <v>US</v>
      </c>
      <c r="G88" cm="1">
        <f t="array" ref="G8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89" spans="1:7" x14ac:dyDescent="0.2">
      <c r="A89" t="s">
        <v>189</v>
      </c>
      <c r="B89" t="s">
        <v>190</v>
      </c>
      <c r="C89" t="s">
        <v>17</v>
      </c>
      <c r="D89" t="s">
        <v>191</v>
      </c>
      <c r="E89" t="s">
        <v>1575</v>
      </c>
      <c r="F89" t="str" cm="1">
        <f t="array" ref="F89">_xlfn.IFS(Table1[[#This Row],[Country]]="United States","US",Table1[[#This Row],[Country]]="United Kingdom","UK",TRUE,"EU")</f>
        <v>UK</v>
      </c>
      <c r="G89" cm="1">
        <f t="array" ref="G8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90" spans="1:7" x14ac:dyDescent="0.2">
      <c r="A90" t="s">
        <v>192</v>
      </c>
      <c r="B90" t="s">
        <v>193</v>
      </c>
      <c r="C90" t="s">
        <v>53</v>
      </c>
      <c r="D90" t="s">
        <v>118</v>
      </c>
      <c r="E90" t="s">
        <v>1574</v>
      </c>
      <c r="F90" t="str" cm="1">
        <f t="array" ref="F90">_xlfn.IFS(Table1[[#This Row],[Country]]="United States","US",Table1[[#This Row],[Country]]="United Kingdom","UK",TRUE,"EU")</f>
        <v>US</v>
      </c>
      <c r="G90" cm="1">
        <f t="array" ref="G9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91" spans="1:7" x14ac:dyDescent="0.2">
      <c r="A91" t="s">
        <v>194</v>
      </c>
      <c r="B91" t="s">
        <v>195</v>
      </c>
      <c r="C91" t="s">
        <v>17</v>
      </c>
      <c r="D91" t="s">
        <v>16</v>
      </c>
      <c r="E91" t="s">
        <v>1574</v>
      </c>
      <c r="F91" t="str" cm="1">
        <f t="array" ref="F91">_xlfn.IFS(Table1[[#This Row],[Country]]="United States","US",Table1[[#This Row],[Country]]="United Kingdom","UK",TRUE,"EU")</f>
        <v>US</v>
      </c>
      <c r="G91" cm="1">
        <f t="array" ref="G9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92" spans="1:7" x14ac:dyDescent="0.2">
      <c r="A92" t="s">
        <v>196</v>
      </c>
      <c r="B92" t="s">
        <v>197</v>
      </c>
      <c r="C92" t="s">
        <v>6</v>
      </c>
      <c r="D92" t="s">
        <v>42</v>
      </c>
      <c r="E92" t="s">
        <v>1574</v>
      </c>
      <c r="F92" t="str" cm="1">
        <f t="array" ref="F92">_xlfn.IFS(Table1[[#This Row],[Country]]="United States","US",Table1[[#This Row],[Country]]="United Kingdom","UK",TRUE,"EU")</f>
        <v>US</v>
      </c>
      <c r="G92" cm="1">
        <f t="array" ref="G9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93" spans="1:7" x14ac:dyDescent="0.2">
      <c r="A93" t="s">
        <v>198</v>
      </c>
      <c r="B93" t="s">
        <v>199</v>
      </c>
      <c r="C93" t="s">
        <v>6</v>
      </c>
      <c r="D93" t="s">
        <v>118</v>
      </c>
      <c r="E93" t="s">
        <v>1574</v>
      </c>
      <c r="F93" t="str" cm="1">
        <f t="array" ref="F93">_xlfn.IFS(Table1[[#This Row],[Country]]="United States","US",Table1[[#This Row],[Country]]="United Kingdom","UK",TRUE,"EU")</f>
        <v>US</v>
      </c>
      <c r="G93" cm="1">
        <f t="array" ref="G9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94" spans="1:7" x14ac:dyDescent="0.2">
      <c r="A94" t="s">
        <v>200</v>
      </c>
      <c r="B94" t="s">
        <v>201</v>
      </c>
      <c r="C94" t="s">
        <v>6</v>
      </c>
      <c r="D94" t="s">
        <v>21</v>
      </c>
      <c r="E94" t="s">
        <v>1574</v>
      </c>
      <c r="F94" t="str" cm="1">
        <f t="array" ref="F94">_xlfn.IFS(Table1[[#This Row],[Country]]="United States","US",Table1[[#This Row],[Country]]="United Kingdom","UK",TRUE,"EU")</f>
        <v>US</v>
      </c>
      <c r="G94" cm="1">
        <f t="array" ref="G9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95" spans="1:7" x14ac:dyDescent="0.2">
      <c r="A95" t="s">
        <v>202</v>
      </c>
      <c r="B95" t="s">
        <v>203</v>
      </c>
      <c r="C95" t="s">
        <v>17</v>
      </c>
      <c r="D95" t="s">
        <v>18</v>
      </c>
      <c r="E95" t="s">
        <v>1574</v>
      </c>
      <c r="F95" t="str" cm="1">
        <f t="array" ref="F95">_xlfn.IFS(Table1[[#This Row],[Country]]="United States","US",Table1[[#This Row],[Country]]="United Kingdom","UK",TRUE,"EU")</f>
        <v>US</v>
      </c>
      <c r="G95" cm="1">
        <f t="array" ref="G9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96" spans="1:7" x14ac:dyDescent="0.2">
      <c r="A96" t="s">
        <v>204</v>
      </c>
      <c r="B96" t="s">
        <v>205</v>
      </c>
      <c r="C96" t="s">
        <v>6</v>
      </c>
      <c r="D96" t="s">
        <v>18</v>
      </c>
      <c r="E96" t="s">
        <v>1574</v>
      </c>
      <c r="F96" t="str" cm="1">
        <f t="array" ref="F96">_xlfn.IFS(Table1[[#This Row],[Country]]="United States","US",Table1[[#This Row],[Country]]="United Kingdom","UK",TRUE,"EU")</f>
        <v>US</v>
      </c>
      <c r="G96" cm="1">
        <f t="array" ref="G9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97" spans="1:7" x14ac:dyDescent="0.2">
      <c r="A97" t="s">
        <v>206</v>
      </c>
      <c r="B97" t="s">
        <v>207</v>
      </c>
      <c r="C97" t="s">
        <v>17</v>
      </c>
      <c r="D97" t="s">
        <v>7</v>
      </c>
      <c r="E97" t="s">
        <v>1575</v>
      </c>
      <c r="F97" t="str" cm="1">
        <f t="array" ref="F97">_xlfn.IFS(Table1[[#This Row],[Country]]="United States","US",Table1[[#This Row],[Country]]="United Kingdom","UK",TRUE,"EU")</f>
        <v>UK</v>
      </c>
      <c r="G97" cm="1">
        <f t="array" ref="G9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98" spans="1:7" x14ac:dyDescent="0.2">
      <c r="A98" t="s">
        <v>208</v>
      </c>
      <c r="B98" t="s">
        <v>209</v>
      </c>
      <c r="C98" t="s">
        <v>6</v>
      </c>
      <c r="D98" t="s">
        <v>33</v>
      </c>
      <c r="E98" t="s">
        <v>1574</v>
      </c>
      <c r="F98" t="str" cm="1">
        <f t="array" ref="F98">_xlfn.IFS(Table1[[#This Row],[Country]]="United States","US",Table1[[#This Row],[Country]]="United Kingdom","UK",TRUE,"EU")</f>
        <v>US</v>
      </c>
      <c r="G98" cm="1">
        <f t="array" ref="G9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99" spans="1:7" x14ac:dyDescent="0.2">
      <c r="A99" t="s">
        <v>210</v>
      </c>
      <c r="B99" t="s">
        <v>211</v>
      </c>
      <c r="C99" t="s">
        <v>53</v>
      </c>
      <c r="D99" t="s">
        <v>18</v>
      </c>
      <c r="E99" t="s">
        <v>1574</v>
      </c>
      <c r="F99" t="str" cm="1">
        <f t="array" ref="F99">_xlfn.IFS(Table1[[#This Row],[Country]]="United States","US",Table1[[#This Row],[Country]]="United Kingdom","UK",TRUE,"EU")</f>
        <v>US</v>
      </c>
      <c r="G99" cm="1">
        <f t="array" ref="G9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00" spans="1:7" x14ac:dyDescent="0.2">
      <c r="A100" t="s">
        <v>212</v>
      </c>
      <c r="B100" t="s">
        <v>213</v>
      </c>
      <c r="C100" t="s">
        <v>6</v>
      </c>
      <c r="D100" t="s">
        <v>16</v>
      </c>
      <c r="E100" t="s">
        <v>1574</v>
      </c>
      <c r="F100" t="str" cm="1">
        <f t="array" ref="F100">_xlfn.IFS(Table1[[#This Row],[Country]]="United States","US",Table1[[#This Row],[Country]]="United Kingdom","UK",TRUE,"EU")</f>
        <v>US</v>
      </c>
      <c r="G100" cm="1">
        <f t="array" ref="G10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01" spans="1:7" x14ac:dyDescent="0.2">
      <c r="A101" t="s">
        <v>214</v>
      </c>
      <c r="B101" t="s">
        <v>215</v>
      </c>
      <c r="C101" t="s">
        <v>6</v>
      </c>
      <c r="D101" t="s">
        <v>7</v>
      </c>
      <c r="E101" t="s">
        <v>1575</v>
      </c>
      <c r="F101" t="str" cm="1">
        <f t="array" ref="F101">_xlfn.IFS(Table1[[#This Row],[Country]]="United States","US",Table1[[#This Row],[Country]]="United Kingdom","UK",TRUE,"EU")</f>
        <v>UK</v>
      </c>
      <c r="G101" cm="1">
        <f t="array" ref="G10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02" spans="1:7" x14ac:dyDescent="0.2">
      <c r="A102" t="s">
        <v>216</v>
      </c>
      <c r="B102" t="s">
        <v>217</v>
      </c>
      <c r="C102" t="s">
        <v>24</v>
      </c>
      <c r="D102" t="s">
        <v>33</v>
      </c>
      <c r="E102" t="s">
        <v>1574</v>
      </c>
      <c r="F102" t="str" cm="1">
        <f t="array" ref="F102">_xlfn.IFS(Table1[[#This Row],[Country]]="United States","US",Table1[[#This Row],[Country]]="United Kingdom","UK",TRUE,"EU")</f>
        <v>US</v>
      </c>
      <c r="G102" cm="1">
        <f t="array" ref="G10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103" spans="1:7" x14ac:dyDescent="0.2">
      <c r="A103" t="s">
        <v>218</v>
      </c>
      <c r="B103" t="s">
        <v>219</v>
      </c>
      <c r="C103" t="s">
        <v>6</v>
      </c>
      <c r="D103" t="s">
        <v>21</v>
      </c>
      <c r="E103" t="s">
        <v>1574</v>
      </c>
      <c r="F103" t="str" cm="1">
        <f t="array" ref="F103">_xlfn.IFS(Table1[[#This Row],[Country]]="United States","US",Table1[[#This Row],[Country]]="United Kingdom","UK",TRUE,"EU")</f>
        <v>US</v>
      </c>
      <c r="G103" cm="1">
        <f t="array" ref="G10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04" spans="1:7" x14ac:dyDescent="0.2">
      <c r="A104" t="s">
        <v>220</v>
      </c>
      <c r="B104" t="s">
        <v>221</v>
      </c>
      <c r="C104" t="s">
        <v>24</v>
      </c>
      <c r="D104" t="s">
        <v>16</v>
      </c>
      <c r="E104" t="s">
        <v>1574</v>
      </c>
      <c r="F104" t="str" cm="1">
        <f t="array" ref="F104">_xlfn.IFS(Table1[[#This Row],[Country]]="United States","US",Table1[[#This Row],[Country]]="United Kingdom","UK",TRUE,"EU")</f>
        <v>US</v>
      </c>
      <c r="G104" cm="1">
        <f t="array" ref="G10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05" spans="1:7" x14ac:dyDescent="0.2">
      <c r="A105" t="s">
        <v>222</v>
      </c>
      <c r="B105" t="s">
        <v>223</v>
      </c>
      <c r="C105" t="s">
        <v>10</v>
      </c>
      <c r="D105" t="s">
        <v>33</v>
      </c>
      <c r="E105" t="s">
        <v>1574</v>
      </c>
      <c r="F105" t="str" cm="1">
        <f t="array" ref="F105">_xlfn.IFS(Table1[[#This Row],[Country]]="United States","US",Table1[[#This Row],[Country]]="United Kingdom","UK",TRUE,"EU")</f>
        <v>US</v>
      </c>
      <c r="G105" cm="1">
        <f t="array" ref="G10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106" spans="1:7" x14ac:dyDescent="0.2">
      <c r="A106" t="s">
        <v>224</v>
      </c>
      <c r="B106" t="s">
        <v>225</v>
      </c>
      <c r="C106" t="s">
        <v>6</v>
      </c>
      <c r="D106" t="s">
        <v>25</v>
      </c>
      <c r="E106" t="s">
        <v>1574</v>
      </c>
      <c r="F106" t="str" cm="1">
        <f t="array" ref="F106">_xlfn.IFS(Table1[[#This Row],[Country]]="United States","US",Table1[[#This Row],[Country]]="United Kingdom","UK",TRUE,"EU")</f>
        <v>US</v>
      </c>
      <c r="G106" cm="1">
        <f t="array" ref="G10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07" spans="1:7" x14ac:dyDescent="0.2">
      <c r="A107" t="s">
        <v>226</v>
      </c>
      <c r="B107" t="s">
        <v>227</v>
      </c>
      <c r="C107" t="s">
        <v>6</v>
      </c>
      <c r="D107" t="s">
        <v>16</v>
      </c>
      <c r="E107" t="s">
        <v>1576</v>
      </c>
      <c r="F107" t="str" cm="1">
        <f t="array" ref="F107">_xlfn.IFS(Table1[[#This Row],[Country]]="United States","US",Table1[[#This Row],[Country]]="United Kingdom","UK",TRUE,"EU")</f>
        <v>EU</v>
      </c>
      <c r="G107" cm="1">
        <f t="array" ref="G10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08" spans="1:7" x14ac:dyDescent="0.2">
      <c r="A108" t="s">
        <v>228</v>
      </c>
      <c r="B108" t="s">
        <v>229</v>
      </c>
      <c r="C108" t="s">
        <v>17</v>
      </c>
      <c r="D108" t="s">
        <v>18</v>
      </c>
      <c r="E108" t="s">
        <v>1574</v>
      </c>
      <c r="F108" t="str" cm="1">
        <f t="array" ref="F108">_xlfn.IFS(Table1[[#This Row],[Country]]="United States","US",Table1[[#This Row],[Country]]="United Kingdom","UK",TRUE,"EU")</f>
        <v>US</v>
      </c>
      <c r="G108" cm="1">
        <f t="array" ref="G10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09" spans="1:7" x14ac:dyDescent="0.2">
      <c r="A109" t="s">
        <v>230</v>
      </c>
      <c r="B109" t="s">
        <v>231</v>
      </c>
      <c r="C109" t="s">
        <v>17</v>
      </c>
      <c r="D109" t="s">
        <v>33</v>
      </c>
      <c r="E109" t="s">
        <v>1575</v>
      </c>
      <c r="F109" t="str" cm="1">
        <f t="array" ref="F109">_xlfn.IFS(Table1[[#This Row],[Country]]="United States","US",Table1[[#This Row],[Country]]="United Kingdom","UK",TRUE,"EU")</f>
        <v>UK</v>
      </c>
      <c r="G109" cm="1">
        <f t="array" ref="G10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110" spans="1:7" x14ac:dyDescent="0.2">
      <c r="A110" t="s">
        <v>232</v>
      </c>
      <c r="B110" t="s">
        <v>233</v>
      </c>
      <c r="C110" t="s">
        <v>6</v>
      </c>
      <c r="D110" t="s">
        <v>11</v>
      </c>
      <c r="E110" t="s">
        <v>1574</v>
      </c>
      <c r="F110" t="str" cm="1">
        <f t="array" ref="F110">_xlfn.IFS(Table1[[#This Row],[Country]]="United States","US",Table1[[#This Row],[Country]]="United Kingdom","UK",TRUE,"EU")</f>
        <v>US</v>
      </c>
      <c r="G110" cm="1">
        <f t="array" ref="G11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111" spans="1:7" x14ac:dyDescent="0.2">
      <c r="A111" t="s">
        <v>234</v>
      </c>
      <c r="B111" t="s">
        <v>235</v>
      </c>
      <c r="C111" t="s">
        <v>24</v>
      </c>
      <c r="D111" t="s">
        <v>25</v>
      </c>
      <c r="E111" t="s">
        <v>1576</v>
      </c>
      <c r="F111" t="str" cm="1">
        <f t="array" ref="F111">_xlfn.IFS(Table1[[#This Row],[Country]]="United States","US",Table1[[#This Row],[Country]]="United Kingdom","UK",TRUE,"EU")</f>
        <v>EU</v>
      </c>
      <c r="G111" cm="1">
        <f t="array" ref="G11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12" spans="1:7" x14ac:dyDescent="0.2">
      <c r="A112" t="s">
        <v>236</v>
      </c>
      <c r="B112" t="s">
        <v>237</v>
      </c>
      <c r="C112" t="s">
        <v>10</v>
      </c>
      <c r="D112" t="s">
        <v>11</v>
      </c>
      <c r="E112" t="s">
        <v>1575</v>
      </c>
      <c r="F112" t="str" cm="1">
        <f t="array" ref="F112">_xlfn.IFS(Table1[[#This Row],[Country]]="United States","US",Table1[[#This Row],[Country]]="United Kingdom","UK",TRUE,"EU")</f>
        <v>UK</v>
      </c>
      <c r="G112" cm="1">
        <f t="array" ref="G11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113" spans="1:7" x14ac:dyDescent="0.2">
      <c r="A113" t="s">
        <v>238</v>
      </c>
      <c r="B113" t="s">
        <v>239</v>
      </c>
      <c r="C113" t="s">
        <v>24</v>
      </c>
      <c r="D113" t="s">
        <v>18</v>
      </c>
      <c r="E113" t="s">
        <v>1574</v>
      </c>
      <c r="F113" t="str" cm="1">
        <f t="array" ref="F113">_xlfn.IFS(Table1[[#This Row],[Country]]="United States","US",Table1[[#This Row],[Country]]="United Kingdom","UK",TRUE,"EU")</f>
        <v>US</v>
      </c>
      <c r="G113" cm="1">
        <f t="array" ref="G11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14" spans="1:7" x14ac:dyDescent="0.2">
      <c r="A114" t="s">
        <v>240</v>
      </c>
      <c r="B114" t="s">
        <v>241</v>
      </c>
      <c r="C114" t="s">
        <v>17</v>
      </c>
      <c r="D114" t="s">
        <v>33</v>
      </c>
      <c r="E114" t="s">
        <v>1574</v>
      </c>
      <c r="F114" t="str" cm="1">
        <f t="array" ref="F114">_xlfn.IFS(Table1[[#This Row],[Country]]="United States","US",Table1[[#This Row],[Country]]="United Kingdom","UK",TRUE,"EU")</f>
        <v>US</v>
      </c>
      <c r="G114" cm="1">
        <f t="array" ref="G11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115" spans="1:7" x14ac:dyDescent="0.2">
      <c r="A115" t="s">
        <v>242</v>
      </c>
      <c r="B115" t="s">
        <v>243</v>
      </c>
      <c r="C115" t="s">
        <v>6</v>
      </c>
      <c r="D115" t="s">
        <v>25</v>
      </c>
      <c r="E115" t="s">
        <v>1574</v>
      </c>
      <c r="F115" t="str" cm="1">
        <f t="array" ref="F115">_xlfn.IFS(Table1[[#This Row],[Country]]="United States","US",Table1[[#This Row],[Country]]="United Kingdom","UK",TRUE,"EU")</f>
        <v>US</v>
      </c>
      <c r="G115" cm="1">
        <f t="array" ref="G11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16" spans="1:7" x14ac:dyDescent="0.2">
      <c r="A116" t="s">
        <v>244</v>
      </c>
      <c r="B116" t="s">
        <v>245</v>
      </c>
      <c r="C116" t="s">
        <v>17</v>
      </c>
      <c r="D116" t="s">
        <v>33</v>
      </c>
      <c r="E116" t="s">
        <v>1574</v>
      </c>
      <c r="F116" t="str" cm="1">
        <f t="array" ref="F116">_xlfn.IFS(Table1[[#This Row],[Country]]="United States","US",Table1[[#This Row],[Country]]="United Kingdom","UK",TRUE,"EU")</f>
        <v>US</v>
      </c>
      <c r="G116" cm="1">
        <f t="array" ref="G11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117" spans="1:7" x14ac:dyDescent="0.2">
      <c r="A117" t="s">
        <v>246</v>
      </c>
      <c r="B117" t="s">
        <v>247</v>
      </c>
      <c r="C117" t="s">
        <v>6</v>
      </c>
      <c r="D117" t="s">
        <v>18</v>
      </c>
      <c r="E117" t="s">
        <v>1574</v>
      </c>
      <c r="F117" t="str" cm="1">
        <f t="array" ref="F117">_xlfn.IFS(Table1[[#This Row],[Country]]="United States","US",Table1[[#This Row],[Country]]="United Kingdom","UK",TRUE,"EU")</f>
        <v>US</v>
      </c>
      <c r="G117" cm="1">
        <f t="array" ref="G11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18" spans="1:7" x14ac:dyDescent="0.2">
      <c r="A118" t="s">
        <v>248</v>
      </c>
      <c r="B118" t="s">
        <v>249</v>
      </c>
      <c r="C118" t="s">
        <v>6</v>
      </c>
      <c r="D118" t="s">
        <v>25</v>
      </c>
      <c r="E118" t="s">
        <v>1574</v>
      </c>
      <c r="F118" t="str" cm="1">
        <f t="array" ref="F118">_xlfn.IFS(Table1[[#This Row],[Country]]="United States","US",Table1[[#This Row],[Country]]="United Kingdom","UK",TRUE,"EU")</f>
        <v>US</v>
      </c>
      <c r="G118" cm="1">
        <f t="array" ref="G11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19" spans="1:7" x14ac:dyDescent="0.2">
      <c r="A119" t="s">
        <v>250</v>
      </c>
      <c r="B119" t="s">
        <v>251</v>
      </c>
      <c r="C119" t="s">
        <v>17</v>
      </c>
      <c r="D119" t="s">
        <v>42</v>
      </c>
      <c r="E119" t="s">
        <v>1576</v>
      </c>
      <c r="F119" t="str" cm="1">
        <f t="array" ref="F119">_xlfn.IFS(Table1[[#This Row],[Country]]="United States","US",Table1[[#This Row],[Country]]="United Kingdom","UK",TRUE,"EU")</f>
        <v>EU</v>
      </c>
      <c r="G119" cm="1">
        <f t="array" ref="G11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20" spans="1:7" x14ac:dyDescent="0.2">
      <c r="A120" t="s">
        <v>252</v>
      </c>
      <c r="B120" t="s">
        <v>253</v>
      </c>
      <c r="C120" t="s">
        <v>6</v>
      </c>
      <c r="D120" t="s">
        <v>25</v>
      </c>
      <c r="E120" t="s">
        <v>1574</v>
      </c>
      <c r="F120" t="str" cm="1">
        <f t="array" ref="F120">_xlfn.IFS(Table1[[#This Row],[Country]]="United States","US",Table1[[#This Row],[Country]]="United Kingdom","UK",TRUE,"EU")</f>
        <v>US</v>
      </c>
      <c r="G120" cm="1">
        <f t="array" ref="G12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21" spans="1:7" x14ac:dyDescent="0.2">
      <c r="A121" t="s">
        <v>254</v>
      </c>
      <c r="B121" t="s">
        <v>255</v>
      </c>
      <c r="C121" t="s">
        <v>17</v>
      </c>
      <c r="D121" t="s">
        <v>7</v>
      </c>
      <c r="E121" t="s">
        <v>1574</v>
      </c>
      <c r="F121" t="str" cm="1">
        <f t="array" ref="F121">_xlfn.IFS(Table1[[#This Row],[Country]]="United States","US",Table1[[#This Row],[Country]]="United Kingdom","UK",TRUE,"EU")</f>
        <v>US</v>
      </c>
      <c r="G121" cm="1">
        <f t="array" ref="G12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22" spans="1:7" x14ac:dyDescent="0.2">
      <c r="A122" t="s">
        <v>256</v>
      </c>
      <c r="B122" t="s">
        <v>257</v>
      </c>
      <c r="C122" t="s">
        <v>6</v>
      </c>
      <c r="D122" t="s">
        <v>11</v>
      </c>
      <c r="E122" t="s">
        <v>1574</v>
      </c>
      <c r="F122" t="str" cm="1">
        <f t="array" ref="F122">_xlfn.IFS(Table1[[#This Row],[Country]]="United States","US",Table1[[#This Row],[Country]]="United Kingdom","UK",TRUE,"EU")</f>
        <v>US</v>
      </c>
      <c r="G122" cm="1">
        <f t="array" ref="G12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123" spans="1:7" x14ac:dyDescent="0.2">
      <c r="A123" t="s">
        <v>258</v>
      </c>
      <c r="B123" t="s">
        <v>259</v>
      </c>
      <c r="C123" t="s">
        <v>17</v>
      </c>
      <c r="D123" t="s">
        <v>42</v>
      </c>
      <c r="E123" t="s">
        <v>1574</v>
      </c>
      <c r="F123" t="str" cm="1">
        <f t="array" ref="F123">_xlfn.IFS(Table1[[#This Row],[Country]]="United States","US",Table1[[#This Row],[Country]]="United Kingdom","UK",TRUE,"EU")</f>
        <v>US</v>
      </c>
      <c r="G123" cm="1">
        <f t="array" ref="G12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24" spans="1:7" x14ac:dyDescent="0.2">
      <c r="A124" t="s">
        <v>260</v>
      </c>
      <c r="B124" t="s">
        <v>261</v>
      </c>
      <c r="C124" t="s">
        <v>6</v>
      </c>
      <c r="D124" t="s">
        <v>25</v>
      </c>
      <c r="E124" t="s">
        <v>1574</v>
      </c>
      <c r="F124" t="str" cm="1">
        <f t="array" ref="F124">_xlfn.IFS(Table1[[#This Row],[Country]]="United States","US",Table1[[#This Row],[Country]]="United Kingdom","UK",TRUE,"EU")</f>
        <v>US</v>
      </c>
      <c r="G124" cm="1">
        <f t="array" ref="G12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25" spans="1:7" x14ac:dyDescent="0.2">
      <c r="A125" t="s">
        <v>262</v>
      </c>
      <c r="B125" t="s">
        <v>263</v>
      </c>
      <c r="C125" t="s">
        <v>24</v>
      </c>
      <c r="D125" t="s">
        <v>7</v>
      </c>
      <c r="E125" t="s">
        <v>1574</v>
      </c>
      <c r="F125" t="str" cm="1">
        <f t="array" ref="F125">_xlfn.IFS(Table1[[#This Row],[Country]]="United States","US",Table1[[#This Row],[Country]]="United Kingdom","UK",TRUE,"EU")</f>
        <v>US</v>
      </c>
      <c r="G125" cm="1">
        <f t="array" ref="G12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26" spans="1:7" x14ac:dyDescent="0.2">
      <c r="A126" t="s">
        <v>264</v>
      </c>
      <c r="B126" t="s">
        <v>265</v>
      </c>
      <c r="C126" t="s">
        <v>17</v>
      </c>
      <c r="D126" t="s">
        <v>18</v>
      </c>
      <c r="E126" t="s">
        <v>1574</v>
      </c>
      <c r="F126" t="str" cm="1">
        <f t="array" ref="F126">_xlfn.IFS(Table1[[#This Row],[Country]]="United States","US",Table1[[#This Row],[Country]]="United Kingdom","UK",TRUE,"EU")</f>
        <v>US</v>
      </c>
      <c r="G126" cm="1">
        <f t="array" ref="G12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27" spans="1:7" x14ac:dyDescent="0.2">
      <c r="A127" t="s">
        <v>266</v>
      </c>
      <c r="B127" t="s">
        <v>267</v>
      </c>
      <c r="C127" t="s">
        <v>17</v>
      </c>
      <c r="D127" t="s">
        <v>7</v>
      </c>
      <c r="E127" t="s">
        <v>1574</v>
      </c>
      <c r="F127" t="str" cm="1">
        <f t="array" ref="F127">_xlfn.IFS(Table1[[#This Row],[Country]]="United States","US",Table1[[#This Row],[Country]]="United Kingdom","UK",TRUE,"EU")</f>
        <v>US</v>
      </c>
      <c r="G127" cm="1">
        <f t="array" ref="G12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28" spans="1:7" x14ac:dyDescent="0.2">
      <c r="A128" t="s">
        <v>268</v>
      </c>
      <c r="B128" t="s">
        <v>269</v>
      </c>
      <c r="C128" t="s">
        <v>53</v>
      </c>
      <c r="D128" t="s">
        <v>11</v>
      </c>
      <c r="E128" t="s">
        <v>1574</v>
      </c>
      <c r="F128" t="str" cm="1">
        <f t="array" ref="F128">_xlfn.IFS(Table1[[#This Row],[Country]]="United States","US",Table1[[#This Row],[Country]]="United Kingdom","UK",TRUE,"EU")</f>
        <v>US</v>
      </c>
      <c r="G128" cm="1">
        <f t="array" ref="G12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129" spans="1:7" x14ac:dyDescent="0.2">
      <c r="A129" t="s">
        <v>270</v>
      </c>
      <c r="B129" t="s">
        <v>271</v>
      </c>
      <c r="C129" t="s">
        <v>17</v>
      </c>
      <c r="D129" t="s">
        <v>21</v>
      </c>
      <c r="E129" t="s">
        <v>1575</v>
      </c>
      <c r="F129" t="str" cm="1">
        <f t="array" ref="F129">_xlfn.IFS(Table1[[#This Row],[Country]]="United States","US",Table1[[#This Row],[Country]]="United Kingdom","UK",TRUE,"EU")</f>
        <v>UK</v>
      </c>
      <c r="G129" cm="1">
        <f t="array" ref="G12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30" spans="1:7" x14ac:dyDescent="0.2">
      <c r="A130" t="s">
        <v>272</v>
      </c>
      <c r="B130" t="s">
        <v>273</v>
      </c>
      <c r="C130" t="s">
        <v>17</v>
      </c>
      <c r="D130" t="s">
        <v>16</v>
      </c>
      <c r="E130" t="s">
        <v>1576</v>
      </c>
      <c r="F130" t="str" cm="1">
        <f t="array" ref="F130">_xlfn.IFS(Table1[[#This Row],[Country]]="United States","US",Table1[[#This Row],[Country]]="United Kingdom","UK",TRUE,"EU")</f>
        <v>EU</v>
      </c>
      <c r="G130" cm="1">
        <f t="array" ref="G13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31" spans="1:7" x14ac:dyDescent="0.2">
      <c r="A131" t="s">
        <v>274</v>
      </c>
      <c r="B131" t="s">
        <v>275</v>
      </c>
      <c r="C131" t="s">
        <v>17</v>
      </c>
      <c r="D131" t="s">
        <v>21</v>
      </c>
      <c r="E131" t="s">
        <v>1576</v>
      </c>
      <c r="F131" t="str" cm="1">
        <f t="array" ref="F131">_xlfn.IFS(Table1[[#This Row],[Country]]="United States","US",Table1[[#This Row],[Country]]="United Kingdom","UK",TRUE,"EU")</f>
        <v>EU</v>
      </c>
      <c r="G131" cm="1">
        <f t="array" ref="G13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32" spans="1:7" x14ac:dyDescent="0.2">
      <c r="A132" t="s">
        <v>276</v>
      </c>
      <c r="B132" t="s">
        <v>277</v>
      </c>
      <c r="C132" t="s">
        <v>6</v>
      </c>
      <c r="D132" t="s">
        <v>7</v>
      </c>
      <c r="E132" t="s">
        <v>1576</v>
      </c>
      <c r="F132" t="str" cm="1">
        <f t="array" ref="F132">_xlfn.IFS(Table1[[#This Row],[Country]]="United States","US",Table1[[#This Row],[Country]]="United Kingdom","UK",TRUE,"EU")</f>
        <v>EU</v>
      </c>
      <c r="G132" cm="1">
        <f t="array" ref="G13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33" spans="1:7" x14ac:dyDescent="0.2">
      <c r="A133" t="s">
        <v>278</v>
      </c>
      <c r="B133" t="s">
        <v>279</v>
      </c>
      <c r="C133" t="s">
        <v>6</v>
      </c>
      <c r="D133" t="s">
        <v>33</v>
      </c>
      <c r="E133" t="s">
        <v>1575</v>
      </c>
      <c r="F133" t="str" cm="1">
        <f t="array" ref="F133">_xlfn.IFS(Table1[[#This Row],[Country]]="United States","US",Table1[[#This Row],[Country]]="United Kingdom","UK",TRUE,"EU")</f>
        <v>UK</v>
      </c>
      <c r="G133" cm="1">
        <f t="array" ref="G13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134" spans="1:7" x14ac:dyDescent="0.2">
      <c r="A134" t="s">
        <v>280</v>
      </c>
      <c r="B134" t="s">
        <v>281</v>
      </c>
      <c r="C134" t="s">
        <v>6</v>
      </c>
      <c r="D134" t="s">
        <v>18</v>
      </c>
      <c r="E134" t="s">
        <v>1574</v>
      </c>
      <c r="F134" t="str" cm="1">
        <f t="array" ref="F134">_xlfn.IFS(Table1[[#This Row],[Country]]="United States","US",Table1[[#This Row],[Country]]="United Kingdom","UK",TRUE,"EU")</f>
        <v>US</v>
      </c>
      <c r="G134" cm="1">
        <f t="array" ref="G13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35" spans="1:7" x14ac:dyDescent="0.2">
      <c r="A135" t="s">
        <v>282</v>
      </c>
      <c r="B135" t="s">
        <v>283</v>
      </c>
      <c r="C135" t="s">
        <v>6</v>
      </c>
      <c r="D135" t="s">
        <v>21</v>
      </c>
      <c r="E135" t="s">
        <v>1574</v>
      </c>
      <c r="F135" t="str" cm="1">
        <f t="array" ref="F135">_xlfn.IFS(Table1[[#This Row],[Country]]="United States","US",Table1[[#This Row],[Country]]="United Kingdom","UK",TRUE,"EU")</f>
        <v>US</v>
      </c>
      <c r="G135" cm="1">
        <f t="array" ref="G13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36" spans="1:7" x14ac:dyDescent="0.2">
      <c r="A136" t="s">
        <v>284</v>
      </c>
      <c r="B136" t="s">
        <v>285</v>
      </c>
      <c r="C136" t="s">
        <v>6</v>
      </c>
      <c r="D136" t="s">
        <v>21</v>
      </c>
      <c r="E136" t="s">
        <v>1574</v>
      </c>
      <c r="F136" t="str" cm="1">
        <f t="array" ref="F136">_xlfn.IFS(Table1[[#This Row],[Country]]="United States","US",Table1[[#This Row],[Country]]="United Kingdom","UK",TRUE,"EU")</f>
        <v>US</v>
      </c>
      <c r="G136" cm="1">
        <f t="array" ref="G13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37" spans="1:7" x14ac:dyDescent="0.2">
      <c r="A137" t="s">
        <v>286</v>
      </c>
      <c r="B137" t="s">
        <v>287</v>
      </c>
      <c r="C137" t="s">
        <v>6</v>
      </c>
      <c r="D137" t="s">
        <v>21</v>
      </c>
      <c r="E137" t="s">
        <v>1574</v>
      </c>
      <c r="F137" t="str" cm="1">
        <f t="array" ref="F137">_xlfn.IFS(Table1[[#This Row],[Country]]="United States","US",Table1[[#This Row],[Country]]="United Kingdom","UK",TRUE,"EU")</f>
        <v>US</v>
      </c>
      <c r="G137" cm="1">
        <f t="array" ref="G13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38" spans="1:7" x14ac:dyDescent="0.2">
      <c r="A138" t="s">
        <v>288</v>
      </c>
      <c r="B138" t="s">
        <v>289</v>
      </c>
      <c r="C138" t="s">
        <v>17</v>
      </c>
      <c r="D138" t="s">
        <v>7</v>
      </c>
      <c r="E138" t="s">
        <v>1574</v>
      </c>
      <c r="F138" t="str" cm="1">
        <f t="array" ref="F138">_xlfn.IFS(Table1[[#This Row],[Country]]="United States","US",Table1[[#This Row],[Country]]="United Kingdom","UK",TRUE,"EU")</f>
        <v>US</v>
      </c>
      <c r="G138" cm="1">
        <f t="array" ref="G13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39" spans="1:7" x14ac:dyDescent="0.2">
      <c r="A139" t="s">
        <v>290</v>
      </c>
      <c r="B139" t="s">
        <v>291</v>
      </c>
      <c r="C139" t="s">
        <v>24</v>
      </c>
      <c r="D139" t="s">
        <v>7</v>
      </c>
      <c r="E139" t="s">
        <v>1574</v>
      </c>
      <c r="F139" t="str" cm="1">
        <f t="array" ref="F139">_xlfn.IFS(Table1[[#This Row],[Country]]="United States","US",Table1[[#This Row],[Country]]="United Kingdom","UK",TRUE,"EU")</f>
        <v>US</v>
      </c>
      <c r="G139" cm="1">
        <f t="array" ref="G13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40" spans="1:7" x14ac:dyDescent="0.2">
      <c r="A140" t="s">
        <v>292</v>
      </c>
      <c r="B140" t="s">
        <v>293</v>
      </c>
      <c r="C140" t="s">
        <v>24</v>
      </c>
      <c r="D140" t="s">
        <v>42</v>
      </c>
      <c r="E140" t="s">
        <v>1574</v>
      </c>
      <c r="F140" t="str" cm="1">
        <f t="array" ref="F140">_xlfn.IFS(Table1[[#This Row],[Country]]="United States","US",Table1[[#This Row],[Country]]="United Kingdom","UK",TRUE,"EU")</f>
        <v>US</v>
      </c>
      <c r="G140" cm="1">
        <f t="array" ref="G14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41" spans="1:7" x14ac:dyDescent="0.2">
      <c r="A141" t="s">
        <v>294</v>
      </c>
      <c r="B141" t="s">
        <v>295</v>
      </c>
      <c r="C141" t="s">
        <v>24</v>
      </c>
      <c r="D141" t="s">
        <v>18</v>
      </c>
      <c r="E141" t="s">
        <v>1574</v>
      </c>
      <c r="F141" t="str" cm="1">
        <f t="array" ref="F141">_xlfn.IFS(Table1[[#This Row],[Country]]="United States","US",Table1[[#This Row],[Country]]="United Kingdom","UK",TRUE,"EU")</f>
        <v>US</v>
      </c>
      <c r="G141" cm="1">
        <f t="array" ref="G14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42" spans="1:7" x14ac:dyDescent="0.2">
      <c r="A142" t="s">
        <v>296</v>
      </c>
      <c r="B142" t="s">
        <v>297</v>
      </c>
      <c r="C142" t="s">
        <v>6</v>
      </c>
      <c r="D142" t="s">
        <v>42</v>
      </c>
      <c r="E142" t="s">
        <v>1574</v>
      </c>
      <c r="F142" t="str" cm="1">
        <f t="array" ref="F142">_xlfn.IFS(Table1[[#This Row],[Country]]="United States","US",Table1[[#This Row],[Country]]="United Kingdom","UK",TRUE,"EU")</f>
        <v>US</v>
      </c>
      <c r="G142" cm="1">
        <f t="array" ref="G14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43" spans="1:7" x14ac:dyDescent="0.2">
      <c r="A143" t="s">
        <v>298</v>
      </c>
      <c r="B143" t="s">
        <v>299</v>
      </c>
      <c r="C143" t="s">
        <v>17</v>
      </c>
      <c r="D143" t="s">
        <v>16</v>
      </c>
      <c r="E143" t="s">
        <v>1576</v>
      </c>
      <c r="F143" t="str" cm="1">
        <f t="array" ref="F143">_xlfn.IFS(Table1[[#This Row],[Country]]="United States","US",Table1[[#This Row],[Country]]="United Kingdom","UK",TRUE,"EU")</f>
        <v>EU</v>
      </c>
      <c r="G143" cm="1">
        <f t="array" ref="G14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44" spans="1:7" x14ac:dyDescent="0.2">
      <c r="A144" t="s">
        <v>300</v>
      </c>
      <c r="B144" t="s">
        <v>301</v>
      </c>
      <c r="C144" t="s">
        <v>17</v>
      </c>
      <c r="D144" t="s">
        <v>18</v>
      </c>
      <c r="E144" t="s">
        <v>1574</v>
      </c>
      <c r="F144" t="str" cm="1">
        <f t="array" ref="F144">_xlfn.IFS(Table1[[#This Row],[Country]]="United States","US",Table1[[#This Row],[Country]]="United Kingdom","UK",TRUE,"EU")</f>
        <v>US</v>
      </c>
      <c r="G144" cm="1">
        <f t="array" ref="G14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45" spans="1:7" x14ac:dyDescent="0.2">
      <c r="A145" t="s">
        <v>302</v>
      </c>
      <c r="B145" t="s">
        <v>303</v>
      </c>
      <c r="C145" t="s">
        <v>24</v>
      </c>
      <c r="D145" t="s">
        <v>191</v>
      </c>
      <c r="E145" t="s">
        <v>1576</v>
      </c>
      <c r="F145" t="str" cm="1">
        <f t="array" ref="F145">_xlfn.IFS(Table1[[#This Row],[Country]]="United States","US",Table1[[#This Row],[Country]]="United Kingdom","UK",TRUE,"EU")</f>
        <v>EU</v>
      </c>
      <c r="G145" cm="1">
        <f t="array" ref="G14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146" spans="1:7" x14ac:dyDescent="0.2">
      <c r="A146" t="s">
        <v>304</v>
      </c>
      <c r="B146" t="s">
        <v>305</v>
      </c>
      <c r="C146" t="s">
        <v>24</v>
      </c>
      <c r="D146" t="s">
        <v>7</v>
      </c>
      <c r="E146" t="s">
        <v>1574</v>
      </c>
      <c r="F146" t="str" cm="1">
        <f t="array" ref="F146">_xlfn.IFS(Table1[[#This Row],[Country]]="United States","US",Table1[[#This Row],[Country]]="United Kingdom","UK",TRUE,"EU")</f>
        <v>US</v>
      </c>
      <c r="G146" cm="1">
        <f t="array" ref="G14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47" spans="1:7" x14ac:dyDescent="0.2">
      <c r="A147" t="s">
        <v>306</v>
      </c>
      <c r="B147" t="s">
        <v>307</v>
      </c>
      <c r="C147" t="s">
        <v>6</v>
      </c>
      <c r="D147" t="s">
        <v>25</v>
      </c>
      <c r="E147" t="s">
        <v>1574</v>
      </c>
      <c r="F147" t="str" cm="1">
        <f t="array" ref="F147">_xlfn.IFS(Table1[[#This Row],[Country]]="United States","US",Table1[[#This Row],[Country]]="United Kingdom","UK",TRUE,"EU")</f>
        <v>US</v>
      </c>
      <c r="G147" cm="1">
        <f t="array" ref="G14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48" spans="1:7" x14ac:dyDescent="0.2">
      <c r="A148" t="s">
        <v>308</v>
      </c>
      <c r="B148" t="s">
        <v>309</v>
      </c>
      <c r="C148" t="s">
        <v>17</v>
      </c>
      <c r="D148" t="s">
        <v>18</v>
      </c>
      <c r="E148" t="s">
        <v>1574</v>
      </c>
      <c r="F148" t="str" cm="1">
        <f t="array" ref="F148">_xlfn.IFS(Table1[[#This Row],[Country]]="United States","US",Table1[[#This Row],[Country]]="United Kingdom","UK",TRUE,"EU")</f>
        <v>US</v>
      </c>
      <c r="G148" cm="1">
        <f t="array" ref="G14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49" spans="1:7" x14ac:dyDescent="0.2">
      <c r="A149" t="s">
        <v>310</v>
      </c>
      <c r="B149" t="s">
        <v>311</v>
      </c>
      <c r="C149" t="s">
        <v>24</v>
      </c>
      <c r="D149" t="s">
        <v>11</v>
      </c>
      <c r="E149" t="s">
        <v>1574</v>
      </c>
      <c r="F149" t="str" cm="1">
        <f t="array" ref="F149">_xlfn.IFS(Table1[[#This Row],[Country]]="United States","US",Table1[[#This Row],[Country]]="United Kingdom","UK",TRUE,"EU")</f>
        <v>US</v>
      </c>
      <c r="G149" cm="1">
        <f t="array" ref="G14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150" spans="1:7" x14ac:dyDescent="0.2">
      <c r="A150" t="s">
        <v>312</v>
      </c>
      <c r="B150" t="s">
        <v>313</v>
      </c>
      <c r="C150" t="s">
        <v>17</v>
      </c>
      <c r="D150" t="s">
        <v>21</v>
      </c>
      <c r="E150" t="s">
        <v>1574</v>
      </c>
      <c r="F150" t="str" cm="1">
        <f t="array" ref="F150">_xlfn.IFS(Table1[[#This Row],[Country]]="United States","US",Table1[[#This Row],[Country]]="United Kingdom","UK",TRUE,"EU")</f>
        <v>US</v>
      </c>
      <c r="G150" cm="1">
        <f t="array" ref="G15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51" spans="1:7" x14ac:dyDescent="0.2">
      <c r="A151" t="s">
        <v>314</v>
      </c>
      <c r="B151" t="s">
        <v>315</v>
      </c>
      <c r="C151" t="s">
        <v>10</v>
      </c>
      <c r="D151" t="s">
        <v>11</v>
      </c>
      <c r="E151" t="s">
        <v>1574</v>
      </c>
      <c r="F151" t="str" cm="1">
        <f t="array" ref="F151">_xlfn.IFS(Table1[[#This Row],[Country]]="United States","US",Table1[[#This Row],[Country]]="United Kingdom","UK",TRUE,"EU")</f>
        <v>US</v>
      </c>
      <c r="G151" cm="1">
        <f t="array" ref="G15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152" spans="1:7" x14ac:dyDescent="0.2">
      <c r="A152" t="s">
        <v>316</v>
      </c>
      <c r="B152" t="s">
        <v>317</v>
      </c>
      <c r="C152" t="s">
        <v>17</v>
      </c>
      <c r="D152" t="s">
        <v>7</v>
      </c>
      <c r="E152" t="s">
        <v>1574</v>
      </c>
      <c r="F152" t="str" cm="1">
        <f t="array" ref="F152">_xlfn.IFS(Table1[[#This Row],[Country]]="United States","US",Table1[[#This Row],[Country]]="United Kingdom","UK",TRUE,"EU")</f>
        <v>US</v>
      </c>
      <c r="G152" cm="1">
        <f t="array" ref="G15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53" spans="1:7" x14ac:dyDescent="0.2">
      <c r="A153" t="s">
        <v>318</v>
      </c>
      <c r="B153" t="s">
        <v>319</v>
      </c>
      <c r="C153" t="s">
        <v>17</v>
      </c>
      <c r="D153" t="s">
        <v>7</v>
      </c>
      <c r="E153" t="s">
        <v>1574</v>
      </c>
      <c r="F153" t="str" cm="1">
        <f t="array" ref="F153">_xlfn.IFS(Table1[[#This Row],[Country]]="United States","US",Table1[[#This Row],[Country]]="United Kingdom","UK",TRUE,"EU")</f>
        <v>US</v>
      </c>
      <c r="G153" cm="1">
        <f t="array" ref="G15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54" spans="1:7" x14ac:dyDescent="0.2">
      <c r="A154" t="s">
        <v>320</v>
      </c>
      <c r="B154" t="s">
        <v>321</v>
      </c>
      <c r="C154" t="s">
        <v>17</v>
      </c>
      <c r="D154" t="s">
        <v>7</v>
      </c>
      <c r="E154" t="s">
        <v>1574</v>
      </c>
      <c r="F154" t="str" cm="1">
        <f t="array" ref="F154">_xlfn.IFS(Table1[[#This Row],[Country]]="United States","US",Table1[[#This Row],[Country]]="United Kingdom","UK",TRUE,"EU")</f>
        <v>US</v>
      </c>
      <c r="G154" cm="1">
        <f t="array" ref="G15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55" spans="1:7" x14ac:dyDescent="0.2">
      <c r="A155" t="s">
        <v>322</v>
      </c>
      <c r="B155" t="s">
        <v>323</v>
      </c>
      <c r="C155" t="s">
        <v>17</v>
      </c>
      <c r="D155" t="s">
        <v>18</v>
      </c>
      <c r="E155" t="s">
        <v>1574</v>
      </c>
      <c r="F155" t="str" cm="1">
        <f t="array" ref="F155">_xlfn.IFS(Table1[[#This Row],[Country]]="United States","US",Table1[[#This Row],[Country]]="United Kingdom","UK",TRUE,"EU")</f>
        <v>US</v>
      </c>
      <c r="G155" cm="1">
        <f t="array" ref="G15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56" spans="1:7" x14ac:dyDescent="0.2">
      <c r="A156" t="s">
        <v>324</v>
      </c>
      <c r="B156" t="s">
        <v>325</v>
      </c>
      <c r="C156" t="s">
        <v>6</v>
      </c>
      <c r="D156" t="s">
        <v>188</v>
      </c>
      <c r="E156" t="s">
        <v>1574</v>
      </c>
      <c r="F156" t="str" cm="1">
        <f t="array" ref="F156">_xlfn.IFS(Table1[[#This Row],[Country]]="United States","US",Table1[[#This Row],[Country]]="United Kingdom","UK",TRUE,"EU")</f>
        <v>US</v>
      </c>
      <c r="G156" cm="1">
        <f t="array" ref="G15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57" spans="1:7" x14ac:dyDescent="0.2">
      <c r="A157" t="s">
        <v>326</v>
      </c>
      <c r="B157" t="s">
        <v>327</v>
      </c>
      <c r="C157" t="s">
        <v>6</v>
      </c>
      <c r="D157" t="s">
        <v>33</v>
      </c>
      <c r="E157" t="s">
        <v>1574</v>
      </c>
      <c r="F157" t="str" cm="1">
        <f t="array" ref="F157">_xlfn.IFS(Table1[[#This Row],[Country]]="United States","US",Table1[[#This Row],[Country]]="United Kingdom","UK",TRUE,"EU")</f>
        <v>US</v>
      </c>
      <c r="G157" cm="1">
        <f t="array" ref="G15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158" spans="1:7" x14ac:dyDescent="0.2">
      <c r="A158" t="s">
        <v>328</v>
      </c>
      <c r="B158" t="s">
        <v>329</v>
      </c>
      <c r="C158" t="s">
        <v>17</v>
      </c>
      <c r="D158" t="s">
        <v>25</v>
      </c>
      <c r="E158" t="s">
        <v>1574</v>
      </c>
      <c r="F158" t="str" cm="1">
        <f t="array" ref="F158">_xlfn.IFS(Table1[[#This Row],[Country]]="United States","US",Table1[[#This Row],[Country]]="United Kingdom","UK",TRUE,"EU")</f>
        <v>US</v>
      </c>
      <c r="G158" cm="1">
        <f t="array" ref="G15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59" spans="1:7" x14ac:dyDescent="0.2">
      <c r="A159" t="s">
        <v>330</v>
      </c>
      <c r="B159" t="s">
        <v>331</v>
      </c>
      <c r="C159" t="s">
        <v>17</v>
      </c>
      <c r="D159" t="s">
        <v>16</v>
      </c>
      <c r="E159" t="s">
        <v>1574</v>
      </c>
      <c r="F159" t="str" cm="1">
        <f t="array" ref="F159">_xlfn.IFS(Table1[[#This Row],[Country]]="United States","US",Table1[[#This Row],[Country]]="United Kingdom","UK",TRUE,"EU")</f>
        <v>US</v>
      </c>
      <c r="G159" cm="1">
        <f t="array" ref="G15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60" spans="1:7" x14ac:dyDescent="0.2">
      <c r="A160" t="s">
        <v>332</v>
      </c>
      <c r="B160" t="s">
        <v>333</v>
      </c>
      <c r="C160" t="s">
        <v>17</v>
      </c>
      <c r="D160" t="s">
        <v>42</v>
      </c>
      <c r="E160" t="s">
        <v>1576</v>
      </c>
      <c r="F160" t="str" cm="1">
        <f t="array" ref="F160">_xlfn.IFS(Table1[[#This Row],[Country]]="United States","US",Table1[[#This Row],[Country]]="United Kingdom","UK",TRUE,"EU")</f>
        <v>EU</v>
      </c>
      <c r="G160" cm="1">
        <f t="array" ref="G16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61" spans="1:7" x14ac:dyDescent="0.2">
      <c r="A161" t="s">
        <v>334</v>
      </c>
      <c r="B161" t="s">
        <v>335</v>
      </c>
      <c r="C161" t="s">
        <v>17</v>
      </c>
      <c r="D161" t="s">
        <v>25</v>
      </c>
      <c r="E161" t="s">
        <v>1574</v>
      </c>
      <c r="F161" t="str" cm="1">
        <f t="array" ref="F161">_xlfn.IFS(Table1[[#This Row],[Country]]="United States","US",Table1[[#This Row],[Country]]="United Kingdom","UK",TRUE,"EU")</f>
        <v>US</v>
      </c>
      <c r="G161" cm="1">
        <f t="array" ref="G16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62" spans="1:7" x14ac:dyDescent="0.2">
      <c r="A162" t="s">
        <v>336</v>
      </c>
      <c r="B162" t="s">
        <v>337</v>
      </c>
      <c r="C162" t="s">
        <v>17</v>
      </c>
      <c r="D162" t="s">
        <v>118</v>
      </c>
      <c r="E162" t="s">
        <v>1574</v>
      </c>
      <c r="F162" t="str" cm="1">
        <f t="array" ref="F162">_xlfn.IFS(Table1[[#This Row],[Country]]="United States","US",Table1[[#This Row],[Country]]="United Kingdom","UK",TRUE,"EU")</f>
        <v>US</v>
      </c>
      <c r="G162" cm="1">
        <f t="array" ref="G16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63" spans="1:7" x14ac:dyDescent="0.2">
      <c r="A163" t="s">
        <v>338</v>
      </c>
      <c r="B163" t="s">
        <v>339</v>
      </c>
      <c r="C163" t="s">
        <v>6</v>
      </c>
      <c r="D163" t="s">
        <v>25</v>
      </c>
      <c r="E163" t="s">
        <v>1575</v>
      </c>
      <c r="F163" t="str" cm="1">
        <f t="array" ref="F163">_xlfn.IFS(Table1[[#This Row],[Country]]="United States","US",Table1[[#This Row],[Country]]="United Kingdom","UK",TRUE,"EU")</f>
        <v>UK</v>
      </c>
      <c r="G163" cm="1">
        <f t="array" ref="G16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64" spans="1:7" x14ac:dyDescent="0.2">
      <c r="A164" t="s">
        <v>340</v>
      </c>
      <c r="B164" t="s">
        <v>341</v>
      </c>
      <c r="C164" t="s">
        <v>6</v>
      </c>
      <c r="D164" t="s">
        <v>7</v>
      </c>
      <c r="E164" t="s">
        <v>1574</v>
      </c>
      <c r="F164" t="str" cm="1">
        <f t="array" ref="F164">_xlfn.IFS(Table1[[#This Row],[Country]]="United States","US",Table1[[#This Row],[Country]]="United Kingdom","UK",TRUE,"EU")</f>
        <v>US</v>
      </c>
      <c r="G164" cm="1">
        <f t="array" ref="G16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65" spans="1:7" x14ac:dyDescent="0.2">
      <c r="A165" t="s">
        <v>342</v>
      </c>
      <c r="B165" t="s">
        <v>343</v>
      </c>
      <c r="C165" t="s">
        <v>17</v>
      </c>
      <c r="D165" t="s">
        <v>18</v>
      </c>
      <c r="E165" t="s">
        <v>1574</v>
      </c>
      <c r="F165" t="str" cm="1">
        <f t="array" ref="F165">_xlfn.IFS(Table1[[#This Row],[Country]]="United States","US",Table1[[#This Row],[Country]]="United Kingdom","UK",TRUE,"EU")</f>
        <v>US</v>
      </c>
      <c r="G165" cm="1">
        <f t="array" ref="G16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66" spans="1:7" x14ac:dyDescent="0.2">
      <c r="A166" t="s">
        <v>344</v>
      </c>
      <c r="B166" t="s">
        <v>345</v>
      </c>
      <c r="C166" t="s">
        <v>6</v>
      </c>
      <c r="D166" t="s">
        <v>16</v>
      </c>
      <c r="E166" t="s">
        <v>1574</v>
      </c>
      <c r="F166" t="str" cm="1">
        <f t="array" ref="F166">_xlfn.IFS(Table1[[#This Row],[Country]]="United States","US",Table1[[#This Row],[Country]]="United Kingdom","UK",TRUE,"EU")</f>
        <v>US</v>
      </c>
      <c r="G166" cm="1">
        <f t="array" ref="G16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67" spans="1:7" x14ac:dyDescent="0.2">
      <c r="A167" t="s">
        <v>346</v>
      </c>
      <c r="B167" t="s">
        <v>347</v>
      </c>
      <c r="C167" t="s">
        <v>24</v>
      </c>
      <c r="D167" t="s">
        <v>18</v>
      </c>
      <c r="E167" t="s">
        <v>1574</v>
      </c>
      <c r="F167" t="str" cm="1">
        <f t="array" ref="F167">_xlfn.IFS(Table1[[#This Row],[Country]]="United States","US",Table1[[#This Row],[Country]]="United Kingdom","UK",TRUE,"EU")</f>
        <v>US</v>
      </c>
      <c r="G167" cm="1">
        <f t="array" ref="G16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68" spans="1:7" x14ac:dyDescent="0.2">
      <c r="A168" t="s">
        <v>348</v>
      </c>
      <c r="B168" t="s">
        <v>349</v>
      </c>
      <c r="C168" t="s">
        <v>6</v>
      </c>
      <c r="D168" t="s">
        <v>7</v>
      </c>
      <c r="E168" t="s">
        <v>1579</v>
      </c>
      <c r="F168" t="str" cm="1">
        <f t="array" ref="F168">_xlfn.IFS(Table1[[#This Row],[Country]]="United States","US",Table1[[#This Row],[Country]]="United Kingdom","UK",TRUE,"EU")</f>
        <v>EU</v>
      </c>
      <c r="G168" cm="1">
        <f t="array" ref="G16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69" spans="1:7" x14ac:dyDescent="0.2">
      <c r="A169" t="s">
        <v>350</v>
      </c>
      <c r="B169" t="s">
        <v>351</v>
      </c>
      <c r="C169" t="s">
        <v>17</v>
      </c>
      <c r="D169" t="s">
        <v>25</v>
      </c>
      <c r="E169" t="s">
        <v>1579</v>
      </c>
      <c r="F169" t="str" cm="1">
        <f t="array" ref="F169">_xlfn.IFS(Table1[[#This Row],[Country]]="United States","US",Table1[[#This Row],[Country]]="United Kingdom","UK",TRUE,"EU")</f>
        <v>EU</v>
      </c>
      <c r="G169" cm="1">
        <f t="array" ref="G16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70" spans="1:7" x14ac:dyDescent="0.2">
      <c r="A170" t="s">
        <v>352</v>
      </c>
      <c r="B170" t="s">
        <v>353</v>
      </c>
      <c r="C170" t="s">
        <v>17</v>
      </c>
      <c r="D170" t="s">
        <v>18</v>
      </c>
      <c r="E170" t="s">
        <v>1574</v>
      </c>
      <c r="F170" t="str" cm="1">
        <f t="array" ref="F170">_xlfn.IFS(Table1[[#This Row],[Country]]="United States","US",Table1[[#This Row],[Country]]="United Kingdom","UK",TRUE,"EU")</f>
        <v>US</v>
      </c>
      <c r="G170" cm="1">
        <f t="array" ref="G17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71" spans="1:7" x14ac:dyDescent="0.2">
      <c r="A171" t="s">
        <v>354</v>
      </c>
      <c r="B171" t="s">
        <v>355</v>
      </c>
      <c r="C171" t="s">
        <v>53</v>
      </c>
      <c r="D171" t="s">
        <v>16</v>
      </c>
      <c r="E171" t="s">
        <v>1574</v>
      </c>
      <c r="F171" t="str" cm="1">
        <f t="array" ref="F171">_xlfn.IFS(Table1[[#This Row],[Country]]="United States","US",Table1[[#This Row],[Country]]="United Kingdom","UK",TRUE,"EU")</f>
        <v>US</v>
      </c>
      <c r="G171" cm="1">
        <f t="array" ref="G17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72" spans="1:7" x14ac:dyDescent="0.2">
      <c r="A172" t="s">
        <v>356</v>
      </c>
      <c r="B172" t="s">
        <v>357</v>
      </c>
      <c r="C172" t="s">
        <v>17</v>
      </c>
      <c r="D172" t="s">
        <v>7</v>
      </c>
      <c r="E172" t="s">
        <v>1574</v>
      </c>
      <c r="F172" t="str" cm="1">
        <f t="array" ref="F172">_xlfn.IFS(Table1[[#This Row],[Country]]="United States","US",Table1[[#This Row],[Country]]="United Kingdom","UK",TRUE,"EU")</f>
        <v>US</v>
      </c>
      <c r="G172" cm="1">
        <f t="array" ref="G17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73" spans="1:7" x14ac:dyDescent="0.2">
      <c r="A173" t="s">
        <v>358</v>
      </c>
      <c r="B173" t="s">
        <v>359</v>
      </c>
      <c r="C173" t="s">
        <v>17</v>
      </c>
      <c r="D173" t="s">
        <v>42</v>
      </c>
      <c r="E173" t="s">
        <v>1574</v>
      </c>
      <c r="F173" t="str" cm="1">
        <f t="array" ref="F173">_xlfn.IFS(Table1[[#This Row],[Country]]="United States","US",Table1[[#This Row],[Country]]="United Kingdom","UK",TRUE,"EU")</f>
        <v>US</v>
      </c>
      <c r="G173" cm="1">
        <f t="array" ref="G17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74" spans="1:7" x14ac:dyDescent="0.2">
      <c r="A174" t="s">
        <v>360</v>
      </c>
      <c r="B174" t="s">
        <v>361</v>
      </c>
      <c r="C174" t="s">
        <v>17</v>
      </c>
      <c r="D174" t="s">
        <v>25</v>
      </c>
      <c r="E174" t="s">
        <v>1574</v>
      </c>
      <c r="F174" t="str" cm="1">
        <f t="array" ref="F174">_xlfn.IFS(Table1[[#This Row],[Country]]="United States","US",Table1[[#This Row],[Country]]="United Kingdom","UK",TRUE,"EU")</f>
        <v>US</v>
      </c>
      <c r="G174" cm="1">
        <f t="array" ref="G17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75" spans="1:7" x14ac:dyDescent="0.2">
      <c r="A175" t="s">
        <v>362</v>
      </c>
      <c r="B175" t="s">
        <v>363</v>
      </c>
      <c r="C175" t="s">
        <v>6</v>
      </c>
      <c r="D175" t="s">
        <v>18</v>
      </c>
      <c r="E175" t="s">
        <v>1574</v>
      </c>
      <c r="F175" t="str" cm="1">
        <f t="array" ref="F175">_xlfn.IFS(Table1[[#This Row],[Country]]="United States","US",Table1[[#This Row],[Country]]="United Kingdom","UK",TRUE,"EU")</f>
        <v>US</v>
      </c>
      <c r="G175" cm="1">
        <f t="array" ref="G17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76" spans="1:7" x14ac:dyDescent="0.2">
      <c r="A176" t="s">
        <v>364</v>
      </c>
      <c r="B176" t="s">
        <v>365</v>
      </c>
      <c r="C176" t="s">
        <v>24</v>
      </c>
      <c r="D176" t="s">
        <v>7</v>
      </c>
      <c r="E176" t="s">
        <v>1574</v>
      </c>
      <c r="F176" t="str" cm="1">
        <f t="array" ref="F176">_xlfn.IFS(Table1[[#This Row],[Country]]="United States","US",Table1[[#This Row],[Country]]="United Kingdom","UK",TRUE,"EU")</f>
        <v>US</v>
      </c>
      <c r="G176" cm="1">
        <f t="array" ref="G17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77" spans="1:7" x14ac:dyDescent="0.2">
      <c r="A177" t="s">
        <v>366</v>
      </c>
      <c r="B177" t="s">
        <v>367</v>
      </c>
      <c r="C177" t="s">
        <v>17</v>
      </c>
      <c r="D177" t="s">
        <v>191</v>
      </c>
      <c r="E177" t="s">
        <v>1579</v>
      </c>
      <c r="F177" t="str" cm="1">
        <f t="array" ref="F177">_xlfn.IFS(Table1[[#This Row],[Country]]="United States","US",Table1[[#This Row],[Country]]="United Kingdom","UK",TRUE,"EU")</f>
        <v>EU</v>
      </c>
      <c r="G177" cm="1">
        <f t="array" ref="G17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178" spans="1:7" x14ac:dyDescent="0.2">
      <c r="A178" t="s">
        <v>368</v>
      </c>
      <c r="B178" t="s">
        <v>369</v>
      </c>
      <c r="C178" t="s">
        <v>53</v>
      </c>
      <c r="D178" t="s">
        <v>11</v>
      </c>
      <c r="E178" t="s">
        <v>1576</v>
      </c>
      <c r="F178" t="str" cm="1">
        <f t="array" ref="F178">_xlfn.IFS(Table1[[#This Row],[Country]]="United States","US",Table1[[#This Row],[Country]]="United Kingdom","UK",TRUE,"EU")</f>
        <v>EU</v>
      </c>
      <c r="G178" cm="1">
        <f t="array" ref="G17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179" spans="1:7" x14ac:dyDescent="0.2">
      <c r="A179" t="s">
        <v>370</v>
      </c>
      <c r="B179" t="s">
        <v>371</v>
      </c>
      <c r="C179" t="s">
        <v>6</v>
      </c>
      <c r="D179" t="s">
        <v>25</v>
      </c>
      <c r="E179" t="s">
        <v>1574</v>
      </c>
      <c r="F179" t="str" cm="1">
        <f t="array" ref="F179">_xlfn.IFS(Table1[[#This Row],[Country]]="United States","US",Table1[[#This Row],[Country]]="United Kingdom","UK",TRUE,"EU")</f>
        <v>US</v>
      </c>
      <c r="G179" cm="1">
        <f t="array" ref="G17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80" spans="1:7" x14ac:dyDescent="0.2">
      <c r="A180" t="s">
        <v>372</v>
      </c>
      <c r="B180" t="s">
        <v>373</v>
      </c>
      <c r="C180" t="s">
        <v>17</v>
      </c>
      <c r="D180" t="s">
        <v>25</v>
      </c>
      <c r="E180" t="s">
        <v>1574</v>
      </c>
      <c r="F180" t="str" cm="1">
        <f t="array" ref="F180">_xlfn.IFS(Table1[[#This Row],[Country]]="United States","US",Table1[[#This Row],[Country]]="United Kingdom","UK",TRUE,"EU")</f>
        <v>US</v>
      </c>
      <c r="G180" cm="1">
        <f t="array" ref="G18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81" spans="1:7" x14ac:dyDescent="0.2">
      <c r="A181" t="s">
        <v>374</v>
      </c>
      <c r="B181" t="s">
        <v>375</v>
      </c>
      <c r="C181" t="s">
        <v>24</v>
      </c>
      <c r="D181" t="s">
        <v>7</v>
      </c>
      <c r="E181" t="s">
        <v>1576</v>
      </c>
      <c r="F181" t="str" cm="1">
        <f t="array" ref="F181">_xlfn.IFS(Table1[[#This Row],[Country]]="United States","US",Table1[[#This Row],[Country]]="United Kingdom","UK",TRUE,"EU")</f>
        <v>EU</v>
      </c>
      <c r="G181" cm="1">
        <f t="array" ref="G18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82" spans="1:7" x14ac:dyDescent="0.2">
      <c r="A182" t="s">
        <v>376</v>
      </c>
      <c r="B182" t="s">
        <v>377</v>
      </c>
      <c r="C182" t="s">
        <v>6</v>
      </c>
      <c r="D182" t="s">
        <v>7</v>
      </c>
      <c r="E182" t="s">
        <v>1574</v>
      </c>
      <c r="F182" t="str" cm="1">
        <f t="array" ref="F182">_xlfn.IFS(Table1[[#This Row],[Country]]="United States","US",Table1[[#This Row],[Country]]="United Kingdom","UK",TRUE,"EU")</f>
        <v>US</v>
      </c>
      <c r="G182" cm="1">
        <f t="array" ref="G18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83" spans="1:7" x14ac:dyDescent="0.2">
      <c r="A183" t="s">
        <v>378</v>
      </c>
      <c r="B183" t="s">
        <v>379</v>
      </c>
      <c r="C183" t="s">
        <v>24</v>
      </c>
      <c r="D183" t="s">
        <v>7</v>
      </c>
      <c r="E183" t="s">
        <v>1574</v>
      </c>
      <c r="F183" t="str" cm="1">
        <f t="array" ref="F183">_xlfn.IFS(Table1[[#This Row],[Country]]="United States","US",Table1[[#This Row],[Country]]="United Kingdom","UK",TRUE,"EU")</f>
        <v>US</v>
      </c>
      <c r="G183" cm="1">
        <f t="array" ref="G18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84" spans="1:7" x14ac:dyDescent="0.2">
      <c r="A184" t="s">
        <v>380</v>
      </c>
      <c r="B184" t="s">
        <v>381</v>
      </c>
      <c r="C184" t="s">
        <v>24</v>
      </c>
      <c r="D184" t="s">
        <v>33</v>
      </c>
      <c r="E184" t="s">
        <v>1574</v>
      </c>
      <c r="F184" t="str" cm="1">
        <f t="array" ref="F184">_xlfn.IFS(Table1[[#This Row],[Country]]="United States","US",Table1[[#This Row],[Country]]="United Kingdom","UK",TRUE,"EU")</f>
        <v>US</v>
      </c>
      <c r="G184" cm="1">
        <f t="array" ref="G18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185" spans="1:7" x14ac:dyDescent="0.2">
      <c r="A185" t="s">
        <v>382</v>
      </c>
      <c r="B185" t="s">
        <v>383</v>
      </c>
      <c r="C185" t="s">
        <v>17</v>
      </c>
      <c r="D185" t="s">
        <v>25</v>
      </c>
      <c r="E185" t="s">
        <v>1576</v>
      </c>
      <c r="F185" t="str" cm="1">
        <f t="array" ref="F185">_xlfn.IFS(Table1[[#This Row],[Country]]="United States","US",Table1[[#This Row],[Country]]="United Kingdom","UK",TRUE,"EU")</f>
        <v>EU</v>
      </c>
      <c r="G185" cm="1">
        <f t="array" ref="G18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86" spans="1:7" x14ac:dyDescent="0.2">
      <c r="A186" t="s">
        <v>384</v>
      </c>
      <c r="B186" t="s">
        <v>385</v>
      </c>
      <c r="C186" t="s">
        <v>10</v>
      </c>
      <c r="D186" t="s">
        <v>11</v>
      </c>
      <c r="E186" t="s">
        <v>1574</v>
      </c>
      <c r="F186" t="str" cm="1">
        <f t="array" ref="F186">_xlfn.IFS(Table1[[#This Row],[Country]]="United States","US",Table1[[#This Row],[Country]]="United Kingdom","UK",TRUE,"EU")</f>
        <v>US</v>
      </c>
      <c r="G186" cm="1">
        <f t="array" ref="G18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187" spans="1:7" x14ac:dyDescent="0.2">
      <c r="A187" t="s">
        <v>386</v>
      </c>
      <c r="B187" t="s">
        <v>387</v>
      </c>
      <c r="C187" t="s">
        <v>10</v>
      </c>
      <c r="D187" t="s">
        <v>11</v>
      </c>
      <c r="E187" t="s">
        <v>1575</v>
      </c>
      <c r="F187" t="str" cm="1">
        <f t="array" ref="F187">_xlfn.IFS(Table1[[#This Row],[Country]]="United States","US",Table1[[#This Row],[Country]]="United Kingdom","UK",TRUE,"EU")</f>
        <v>UK</v>
      </c>
      <c r="G187" cm="1">
        <f t="array" ref="G18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188" spans="1:7" x14ac:dyDescent="0.2">
      <c r="A188" t="s">
        <v>388</v>
      </c>
      <c r="B188" t="s">
        <v>389</v>
      </c>
      <c r="C188" t="s">
        <v>17</v>
      </c>
      <c r="D188" t="s">
        <v>18</v>
      </c>
      <c r="E188" t="s">
        <v>1574</v>
      </c>
      <c r="F188" t="str" cm="1">
        <f t="array" ref="F188">_xlfn.IFS(Table1[[#This Row],[Country]]="United States","US",Table1[[#This Row],[Country]]="United Kingdom","UK",TRUE,"EU")</f>
        <v>US</v>
      </c>
      <c r="G188" cm="1">
        <f t="array" ref="G18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89" spans="1:7" x14ac:dyDescent="0.2">
      <c r="A189" t="s">
        <v>390</v>
      </c>
      <c r="B189" t="s">
        <v>391</v>
      </c>
      <c r="C189" t="s">
        <v>17</v>
      </c>
      <c r="D189" t="s">
        <v>25</v>
      </c>
      <c r="E189" t="s">
        <v>1574</v>
      </c>
      <c r="F189" t="str" cm="1">
        <f t="array" ref="F189">_xlfn.IFS(Table1[[#This Row],[Country]]="United States","US",Table1[[#This Row],[Country]]="United Kingdom","UK",TRUE,"EU")</f>
        <v>US</v>
      </c>
      <c r="G189" cm="1">
        <f t="array" ref="G18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90" spans="1:7" x14ac:dyDescent="0.2">
      <c r="A190" t="s">
        <v>392</v>
      </c>
      <c r="B190" t="s">
        <v>393</v>
      </c>
      <c r="C190" t="s">
        <v>17</v>
      </c>
      <c r="D190" t="s">
        <v>18</v>
      </c>
      <c r="E190" t="s">
        <v>1574</v>
      </c>
      <c r="F190" t="str" cm="1">
        <f t="array" ref="F190">_xlfn.IFS(Table1[[#This Row],[Country]]="United States","US",Table1[[#This Row],[Country]]="United Kingdom","UK",TRUE,"EU")</f>
        <v>US</v>
      </c>
      <c r="G190" cm="1">
        <f t="array" ref="G19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91" spans="1:7" x14ac:dyDescent="0.2">
      <c r="A191" t="s">
        <v>394</v>
      </c>
      <c r="B191" t="s">
        <v>395</v>
      </c>
      <c r="C191" t="s">
        <v>24</v>
      </c>
      <c r="D191" t="s">
        <v>16</v>
      </c>
      <c r="E191" t="s">
        <v>1574</v>
      </c>
      <c r="F191" t="str" cm="1">
        <f t="array" ref="F191">_xlfn.IFS(Table1[[#This Row],[Country]]="United States","US",Table1[[#This Row],[Country]]="United Kingdom","UK",TRUE,"EU")</f>
        <v>US</v>
      </c>
      <c r="G191" cm="1">
        <f t="array" ref="G19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92" spans="1:7" x14ac:dyDescent="0.2">
      <c r="A192" t="s">
        <v>396</v>
      </c>
      <c r="B192" t="s">
        <v>397</v>
      </c>
      <c r="C192" t="s">
        <v>6</v>
      </c>
      <c r="D192" t="s">
        <v>25</v>
      </c>
      <c r="E192" t="s">
        <v>1574</v>
      </c>
      <c r="F192" t="str" cm="1">
        <f t="array" ref="F192">_xlfn.IFS(Table1[[#This Row],[Country]]="United States","US",Table1[[#This Row],[Country]]="United Kingdom","UK",TRUE,"EU")</f>
        <v>US</v>
      </c>
      <c r="G192" cm="1">
        <f t="array" ref="G19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93" spans="1:7" x14ac:dyDescent="0.2">
      <c r="A193" t="s">
        <v>398</v>
      </c>
      <c r="B193" t="s">
        <v>399</v>
      </c>
      <c r="C193" t="s">
        <v>10</v>
      </c>
      <c r="D193" t="s">
        <v>42</v>
      </c>
      <c r="E193" t="s">
        <v>1574</v>
      </c>
      <c r="F193" t="str" cm="1">
        <f t="array" ref="F193">_xlfn.IFS(Table1[[#This Row],[Country]]="United States","US",Table1[[#This Row],[Country]]="United Kingdom","UK",TRUE,"EU")</f>
        <v>US</v>
      </c>
      <c r="G193" cm="1">
        <f t="array" ref="G19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94" spans="1:7" x14ac:dyDescent="0.2">
      <c r="A194" t="s">
        <v>400</v>
      </c>
      <c r="B194" t="s">
        <v>401</v>
      </c>
      <c r="C194" t="s">
        <v>53</v>
      </c>
      <c r="D194" t="s">
        <v>25</v>
      </c>
      <c r="E194" t="s">
        <v>1574</v>
      </c>
      <c r="F194" t="str" cm="1">
        <f t="array" ref="F194">_xlfn.IFS(Table1[[#This Row],[Country]]="United States","US",Table1[[#This Row],[Country]]="United Kingdom","UK",TRUE,"EU")</f>
        <v>US</v>
      </c>
      <c r="G194" cm="1">
        <f t="array" ref="G19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195" spans="1:7" x14ac:dyDescent="0.2">
      <c r="A195" t="s">
        <v>402</v>
      </c>
      <c r="B195" t="s">
        <v>403</v>
      </c>
      <c r="C195" t="s">
        <v>17</v>
      </c>
      <c r="D195" t="s">
        <v>7</v>
      </c>
      <c r="E195" t="s">
        <v>1574</v>
      </c>
      <c r="F195" t="str" cm="1">
        <f t="array" ref="F195">_xlfn.IFS(Table1[[#This Row],[Country]]="United States","US",Table1[[#This Row],[Country]]="United Kingdom","UK",TRUE,"EU")</f>
        <v>US</v>
      </c>
      <c r="G195" cm="1">
        <f t="array" ref="G19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96" spans="1:7" x14ac:dyDescent="0.2">
      <c r="A196" t="s">
        <v>404</v>
      </c>
      <c r="B196" t="s">
        <v>405</v>
      </c>
      <c r="C196" t="s">
        <v>17</v>
      </c>
      <c r="D196" t="s">
        <v>118</v>
      </c>
      <c r="E196" t="s">
        <v>1574</v>
      </c>
      <c r="F196" t="str" cm="1">
        <f t="array" ref="F196">_xlfn.IFS(Table1[[#This Row],[Country]]="United States","US",Table1[[#This Row],[Country]]="United Kingdom","UK",TRUE,"EU")</f>
        <v>US</v>
      </c>
      <c r="G196" cm="1">
        <f t="array" ref="G19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97" spans="1:7" x14ac:dyDescent="0.2">
      <c r="A197" t="s">
        <v>406</v>
      </c>
      <c r="B197" t="s">
        <v>407</v>
      </c>
      <c r="C197" t="s">
        <v>6</v>
      </c>
      <c r="D197" t="s">
        <v>16</v>
      </c>
      <c r="E197" t="s">
        <v>1576</v>
      </c>
      <c r="F197" t="str" cm="1">
        <f t="array" ref="F197">_xlfn.IFS(Table1[[#This Row],[Country]]="United States","US",Table1[[#This Row],[Country]]="United Kingdom","UK",TRUE,"EU")</f>
        <v>EU</v>
      </c>
      <c r="G197" cm="1">
        <f t="array" ref="G19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98" spans="1:7" x14ac:dyDescent="0.2">
      <c r="A198" t="s">
        <v>408</v>
      </c>
      <c r="B198" t="s">
        <v>409</v>
      </c>
      <c r="C198" t="s">
        <v>6</v>
      </c>
      <c r="D198" t="s">
        <v>7</v>
      </c>
      <c r="E198" t="s">
        <v>1576</v>
      </c>
      <c r="F198" t="str" cm="1">
        <f t="array" ref="F198">_xlfn.IFS(Table1[[#This Row],[Country]]="United States","US",Table1[[#This Row],[Country]]="United Kingdom","UK",TRUE,"EU")</f>
        <v>EU</v>
      </c>
      <c r="G198" cm="1">
        <f t="array" ref="G19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199" spans="1:7" x14ac:dyDescent="0.2">
      <c r="A199" t="s">
        <v>410</v>
      </c>
      <c r="B199" t="s">
        <v>411</v>
      </c>
      <c r="C199" t="s">
        <v>6</v>
      </c>
      <c r="D199" t="s">
        <v>25</v>
      </c>
      <c r="E199" t="s">
        <v>1574</v>
      </c>
      <c r="F199" t="str" cm="1">
        <f t="array" ref="F199">_xlfn.IFS(Table1[[#This Row],[Country]]="United States","US",Table1[[#This Row],[Country]]="United Kingdom","UK",TRUE,"EU")</f>
        <v>US</v>
      </c>
      <c r="G199" cm="1">
        <f t="array" ref="G19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00" spans="1:7" x14ac:dyDescent="0.2">
      <c r="A200" t="s">
        <v>412</v>
      </c>
      <c r="B200" t="s">
        <v>413</v>
      </c>
      <c r="C200" t="s">
        <v>17</v>
      </c>
      <c r="D200" t="s">
        <v>25</v>
      </c>
      <c r="E200" t="s">
        <v>1579</v>
      </c>
      <c r="F200" t="str" cm="1">
        <f t="array" ref="F200">_xlfn.IFS(Table1[[#This Row],[Country]]="United States","US",Table1[[#This Row],[Country]]="United Kingdom","UK",TRUE,"EU")</f>
        <v>EU</v>
      </c>
      <c r="G200" cm="1">
        <f t="array" ref="G20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01" spans="1:7" x14ac:dyDescent="0.2">
      <c r="A201" t="s">
        <v>414</v>
      </c>
      <c r="B201" t="s">
        <v>415</v>
      </c>
      <c r="C201" t="s">
        <v>6</v>
      </c>
      <c r="D201" t="s">
        <v>25</v>
      </c>
      <c r="E201" t="s">
        <v>1574</v>
      </c>
      <c r="F201" t="str" cm="1">
        <f t="array" ref="F201">_xlfn.IFS(Table1[[#This Row],[Country]]="United States","US",Table1[[#This Row],[Country]]="United Kingdom","UK",TRUE,"EU")</f>
        <v>US</v>
      </c>
      <c r="G201" cm="1">
        <f t="array" ref="G20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02" spans="1:7" x14ac:dyDescent="0.2">
      <c r="A202" t="s">
        <v>416</v>
      </c>
      <c r="B202" t="s">
        <v>417</v>
      </c>
      <c r="C202" t="s">
        <v>17</v>
      </c>
      <c r="D202" t="s">
        <v>7</v>
      </c>
      <c r="E202" t="s">
        <v>1575</v>
      </c>
      <c r="F202" t="str" cm="1">
        <f t="array" ref="F202">_xlfn.IFS(Table1[[#This Row],[Country]]="United States","US",Table1[[#This Row],[Country]]="United Kingdom","UK",TRUE,"EU")</f>
        <v>UK</v>
      </c>
      <c r="G202" cm="1">
        <f t="array" ref="G20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03" spans="1:7" x14ac:dyDescent="0.2">
      <c r="A203" t="s">
        <v>418</v>
      </c>
      <c r="B203" t="s">
        <v>419</v>
      </c>
      <c r="C203" t="s">
        <v>10</v>
      </c>
      <c r="D203" t="s">
        <v>42</v>
      </c>
      <c r="E203" t="s">
        <v>1576</v>
      </c>
      <c r="F203" t="str" cm="1">
        <f t="array" ref="F203">_xlfn.IFS(Table1[[#This Row],[Country]]="United States","US",Table1[[#This Row],[Country]]="United Kingdom","UK",TRUE,"EU")</f>
        <v>EU</v>
      </c>
      <c r="G203" cm="1">
        <f t="array" ref="G20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04" spans="1:7" x14ac:dyDescent="0.2">
      <c r="A204" t="s">
        <v>420</v>
      </c>
      <c r="B204" t="s">
        <v>421</v>
      </c>
      <c r="C204" t="s">
        <v>17</v>
      </c>
      <c r="D204" t="s">
        <v>7</v>
      </c>
      <c r="E204" t="s">
        <v>1574</v>
      </c>
      <c r="F204" t="str" cm="1">
        <f t="array" ref="F204">_xlfn.IFS(Table1[[#This Row],[Country]]="United States","US",Table1[[#This Row],[Country]]="United Kingdom","UK",TRUE,"EU")</f>
        <v>US</v>
      </c>
      <c r="G204" cm="1">
        <f t="array" ref="G20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05" spans="1:7" x14ac:dyDescent="0.2">
      <c r="A205" t="s">
        <v>422</v>
      </c>
      <c r="B205" t="s">
        <v>423</v>
      </c>
      <c r="C205" t="s">
        <v>17</v>
      </c>
      <c r="D205" t="s">
        <v>33</v>
      </c>
      <c r="E205" t="s">
        <v>1576</v>
      </c>
      <c r="F205" t="str" cm="1">
        <f t="array" ref="F205">_xlfn.IFS(Table1[[#This Row],[Country]]="United States","US",Table1[[#This Row],[Country]]="United Kingdom","UK",TRUE,"EU")</f>
        <v>EU</v>
      </c>
      <c r="G205" cm="1">
        <f t="array" ref="G20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206" spans="1:7" x14ac:dyDescent="0.2">
      <c r="A206" t="s">
        <v>424</v>
      </c>
      <c r="B206" t="s">
        <v>425</v>
      </c>
      <c r="C206" t="s">
        <v>6</v>
      </c>
      <c r="D206" t="s">
        <v>33</v>
      </c>
      <c r="E206" t="s">
        <v>1574</v>
      </c>
      <c r="F206" t="str" cm="1">
        <f t="array" ref="F206">_xlfn.IFS(Table1[[#This Row],[Country]]="United States","US",Table1[[#This Row],[Country]]="United Kingdom","UK",TRUE,"EU")</f>
        <v>US</v>
      </c>
      <c r="G206" cm="1">
        <f t="array" ref="G20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207" spans="1:7" x14ac:dyDescent="0.2">
      <c r="A207" t="s">
        <v>426</v>
      </c>
      <c r="B207" t="s">
        <v>427</v>
      </c>
      <c r="C207" t="s">
        <v>17</v>
      </c>
      <c r="D207" t="s">
        <v>25</v>
      </c>
      <c r="E207" t="s">
        <v>1574</v>
      </c>
      <c r="F207" t="str" cm="1">
        <f t="array" ref="F207">_xlfn.IFS(Table1[[#This Row],[Country]]="United States","US",Table1[[#This Row],[Country]]="United Kingdom","UK",TRUE,"EU")</f>
        <v>US</v>
      </c>
      <c r="G207" cm="1">
        <f t="array" ref="G20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08" spans="1:7" x14ac:dyDescent="0.2">
      <c r="A208" t="s">
        <v>428</v>
      </c>
      <c r="B208" t="s">
        <v>429</v>
      </c>
      <c r="C208" t="s">
        <v>6</v>
      </c>
      <c r="D208" t="s">
        <v>16</v>
      </c>
      <c r="E208" t="s">
        <v>1576</v>
      </c>
      <c r="F208" t="str" cm="1">
        <f t="array" ref="F208">_xlfn.IFS(Table1[[#This Row],[Country]]="United States","US",Table1[[#This Row],[Country]]="United Kingdom","UK",TRUE,"EU")</f>
        <v>EU</v>
      </c>
      <c r="G208" cm="1">
        <f t="array" ref="G20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09" spans="1:7" x14ac:dyDescent="0.2">
      <c r="A209" t="s">
        <v>430</v>
      </c>
      <c r="B209" t="s">
        <v>431</v>
      </c>
      <c r="C209" t="s">
        <v>10</v>
      </c>
      <c r="D209" t="s">
        <v>25</v>
      </c>
      <c r="E209" t="s">
        <v>1574</v>
      </c>
      <c r="F209" t="str" cm="1">
        <f t="array" ref="F209">_xlfn.IFS(Table1[[#This Row],[Country]]="United States","US",Table1[[#This Row],[Country]]="United Kingdom","UK",TRUE,"EU")</f>
        <v>US</v>
      </c>
      <c r="G209" cm="1">
        <f t="array" ref="G20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10" spans="1:7" x14ac:dyDescent="0.2">
      <c r="A210" t="s">
        <v>432</v>
      </c>
      <c r="B210" t="s">
        <v>433</v>
      </c>
      <c r="C210" t="s">
        <v>17</v>
      </c>
      <c r="D210" t="s">
        <v>7</v>
      </c>
      <c r="E210" t="s">
        <v>1574</v>
      </c>
      <c r="F210" t="str" cm="1">
        <f t="array" ref="F210">_xlfn.IFS(Table1[[#This Row],[Country]]="United States","US",Table1[[#This Row],[Country]]="United Kingdom","UK",TRUE,"EU")</f>
        <v>US</v>
      </c>
      <c r="G210" cm="1">
        <f t="array" ref="G21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11" spans="1:7" x14ac:dyDescent="0.2">
      <c r="A211" t="s">
        <v>434</v>
      </c>
      <c r="B211" t="s">
        <v>435</v>
      </c>
      <c r="C211" t="s">
        <v>17</v>
      </c>
      <c r="D211" t="s">
        <v>18</v>
      </c>
      <c r="E211" t="s">
        <v>1574</v>
      </c>
      <c r="F211" t="str" cm="1">
        <f t="array" ref="F211">_xlfn.IFS(Table1[[#This Row],[Country]]="United States","US",Table1[[#This Row],[Country]]="United Kingdom","UK",TRUE,"EU")</f>
        <v>US</v>
      </c>
      <c r="G211" cm="1">
        <f t="array" ref="G21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12" spans="1:7" x14ac:dyDescent="0.2">
      <c r="A212" t="s">
        <v>436</v>
      </c>
      <c r="B212" t="s">
        <v>437</v>
      </c>
      <c r="C212" t="s">
        <v>17</v>
      </c>
      <c r="D212" t="s">
        <v>18</v>
      </c>
      <c r="E212" t="s">
        <v>1574</v>
      </c>
      <c r="F212" t="str" cm="1">
        <f t="array" ref="F212">_xlfn.IFS(Table1[[#This Row],[Country]]="United States","US",Table1[[#This Row],[Country]]="United Kingdom","UK",TRUE,"EU")</f>
        <v>US</v>
      </c>
      <c r="G212" cm="1">
        <f t="array" ref="G21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13" spans="1:7" x14ac:dyDescent="0.2">
      <c r="A213" t="s">
        <v>438</v>
      </c>
      <c r="B213" t="s">
        <v>439</v>
      </c>
      <c r="C213" t="s">
        <v>10</v>
      </c>
      <c r="D213" t="s">
        <v>16</v>
      </c>
      <c r="E213" t="s">
        <v>1575</v>
      </c>
      <c r="F213" t="str" cm="1">
        <f t="array" ref="F213">_xlfn.IFS(Table1[[#This Row],[Country]]="United States","US",Table1[[#This Row],[Country]]="United Kingdom","UK",TRUE,"EU")</f>
        <v>UK</v>
      </c>
      <c r="G213" cm="1">
        <f t="array" ref="G21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14" spans="1:7" x14ac:dyDescent="0.2">
      <c r="A214" t="s">
        <v>440</v>
      </c>
      <c r="B214" t="s">
        <v>441</v>
      </c>
      <c r="C214" t="s">
        <v>6</v>
      </c>
      <c r="D214" t="s">
        <v>25</v>
      </c>
      <c r="E214" t="s">
        <v>1576</v>
      </c>
      <c r="F214" t="str" cm="1">
        <f t="array" ref="F214">_xlfn.IFS(Table1[[#This Row],[Country]]="United States","US",Table1[[#This Row],[Country]]="United Kingdom","UK",TRUE,"EU")</f>
        <v>EU</v>
      </c>
      <c r="G214" cm="1">
        <f t="array" ref="G21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15" spans="1:7" x14ac:dyDescent="0.2">
      <c r="A215" t="s">
        <v>442</v>
      </c>
      <c r="B215" t="s">
        <v>443</v>
      </c>
      <c r="C215" t="s">
        <v>17</v>
      </c>
      <c r="D215" t="s">
        <v>42</v>
      </c>
      <c r="E215" t="s">
        <v>1579</v>
      </c>
      <c r="F215" t="str" cm="1">
        <f t="array" ref="F215">_xlfn.IFS(Table1[[#This Row],[Country]]="United States","US",Table1[[#This Row],[Country]]="United Kingdom","UK",TRUE,"EU")</f>
        <v>EU</v>
      </c>
      <c r="G215" cm="1">
        <f t="array" ref="G21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16" spans="1:7" x14ac:dyDescent="0.2">
      <c r="A216" t="s">
        <v>444</v>
      </c>
      <c r="B216" t="s">
        <v>445</v>
      </c>
      <c r="C216" t="s">
        <v>53</v>
      </c>
      <c r="D216" t="s">
        <v>42</v>
      </c>
      <c r="E216" t="s">
        <v>1574</v>
      </c>
      <c r="F216" t="str" cm="1">
        <f t="array" ref="F216">_xlfn.IFS(Table1[[#This Row],[Country]]="United States","US",Table1[[#This Row],[Country]]="United Kingdom","UK",TRUE,"EU")</f>
        <v>US</v>
      </c>
      <c r="G216" cm="1">
        <f t="array" ref="G21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17" spans="1:7" x14ac:dyDescent="0.2">
      <c r="A217" t="s">
        <v>446</v>
      </c>
      <c r="B217" t="s">
        <v>447</v>
      </c>
      <c r="C217" t="s">
        <v>10</v>
      </c>
      <c r="D217" t="s">
        <v>25</v>
      </c>
      <c r="E217" t="s">
        <v>1574</v>
      </c>
      <c r="F217" t="str" cm="1">
        <f t="array" ref="F217">_xlfn.IFS(Table1[[#This Row],[Country]]="United States","US",Table1[[#This Row],[Country]]="United Kingdom","UK",TRUE,"EU")</f>
        <v>US</v>
      </c>
      <c r="G217" cm="1">
        <f t="array" ref="G21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18" spans="1:7" x14ac:dyDescent="0.2">
      <c r="A218" t="s">
        <v>448</v>
      </c>
      <c r="B218" t="s">
        <v>449</v>
      </c>
      <c r="C218" t="s">
        <v>17</v>
      </c>
      <c r="D218" t="s">
        <v>25</v>
      </c>
      <c r="E218" t="s">
        <v>1575</v>
      </c>
      <c r="F218" t="str" cm="1">
        <f t="array" ref="F218">_xlfn.IFS(Table1[[#This Row],[Country]]="United States","US",Table1[[#This Row],[Country]]="United Kingdom","UK",TRUE,"EU")</f>
        <v>UK</v>
      </c>
      <c r="G218" cm="1">
        <f t="array" ref="G21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19" spans="1:7" x14ac:dyDescent="0.2">
      <c r="A219" t="s">
        <v>450</v>
      </c>
      <c r="B219" t="s">
        <v>451</v>
      </c>
      <c r="C219" t="s">
        <v>17</v>
      </c>
      <c r="D219" t="s">
        <v>18</v>
      </c>
      <c r="E219" t="s">
        <v>1574</v>
      </c>
      <c r="F219" t="str" cm="1">
        <f t="array" ref="F219">_xlfn.IFS(Table1[[#This Row],[Country]]="United States","US",Table1[[#This Row],[Country]]="United Kingdom","UK",TRUE,"EU")</f>
        <v>US</v>
      </c>
      <c r="G219" cm="1">
        <f t="array" ref="G21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20" spans="1:7" x14ac:dyDescent="0.2">
      <c r="A220" t="s">
        <v>452</v>
      </c>
      <c r="B220" t="s">
        <v>453</v>
      </c>
      <c r="C220" t="s">
        <v>17</v>
      </c>
      <c r="D220" t="s">
        <v>11</v>
      </c>
      <c r="E220" t="s">
        <v>1574</v>
      </c>
      <c r="F220" t="str" cm="1">
        <f t="array" ref="F220">_xlfn.IFS(Table1[[#This Row],[Country]]="United States","US",Table1[[#This Row],[Country]]="United Kingdom","UK",TRUE,"EU")</f>
        <v>US</v>
      </c>
      <c r="G220" cm="1">
        <f t="array" ref="G22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221" spans="1:7" x14ac:dyDescent="0.2">
      <c r="A221" t="s">
        <v>454</v>
      </c>
      <c r="B221" t="s">
        <v>455</v>
      </c>
      <c r="C221" t="s">
        <v>10</v>
      </c>
      <c r="D221" t="s">
        <v>25</v>
      </c>
      <c r="E221" t="s">
        <v>1574</v>
      </c>
      <c r="F221" t="str" cm="1">
        <f t="array" ref="F221">_xlfn.IFS(Table1[[#This Row],[Country]]="United States","US",Table1[[#This Row],[Country]]="United Kingdom","UK",TRUE,"EU")</f>
        <v>US</v>
      </c>
      <c r="G221" cm="1">
        <f t="array" ref="G22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22" spans="1:7" x14ac:dyDescent="0.2">
      <c r="A222" t="s">
        <v>456</v>
      </c>
      <c r="B222" t="s">
        <v>457</v>
      </c>
      <c r="C222" t="s">
        <v>6</v>
      </c>
      <c r="D222" t="s">
        <v>7</v>
      </c>
      <c r="E222" t="s">
        <v>1574</v>
      </c>
      <c r="F222" t="str" cm="1">
        <f t="array" ref="F222">_xlfn.IFS(Table1[[#This Row],[Country]]="United States","US",Table1[[#This Row],[Country]]="United Kingdom","UK",TRUE,"EU")</f>
        <v>US</v>
      </c>
      <c r="G222" cm="1">
        <f t="array" ref="G22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23" spans="1:7" x14ac:dyDescent="0.2">
      <c r="A223" t="s">
        <v>458</v>
      </c>
      <c r="B223" t="s">
        <v>459</v>
      </c>
      <c r="C223" t="s">
        <v>17</v>
      </c>
      <c r="D223" t="s">
        <v>42</v>
      </c>
      <c r="E223" t="s">
        <v>1575</v>
      </c>
      <c r="F223" t="str" cm="1">
        <f t="array" ref="F223">_xlfn.IFS(Table1[[#This Row],[Country]]="United States","US",Table1[[#This Row],[Country]]="United Kingdom","UK",TRUE,"EU")</f>
        <v>UK</v>
      </c>
      <c r="G223" cm="1">
        <f t="array" ref="G22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24" spans="1:7" x14ac:dyDescent="0.2">
      <c r="A224" t="s">
        <v>460</v>
      </c>
      <c r="B224" t="s">
        <v>461</v>
      </c>
      <c r="C224" t="s">
        <v>17</v>
      </c>
      <c r="D224" t="s">
        <v>33</v>
      </c>
      <c r="E224" t="s">
        <v>1575</v>
      </c>
      <c r="F224" t="str" cm="1">
        <f t="array" ref="F224">_xlfn.IFS(Table1[[#This Row],[Country]]="United States","US",Table1[[#This Row],[Country]]="United Kingdom","UK",TRUE,"EU")</f>
        <v>UK</v>
      </c>
      <c r="G224" cm="1">
        <f t="array" ref="G22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225" spans="1:7" x14ac:dyDescent="0.2">
      <c r="A225" t="s">
        <v>462</v>
      </c>
      <c r="B225" t="s">
        <v>463</v>
      </c>
      <c r="C225" t="s">
        <v>17</v>
      </c>
      <c r="D225" t="s">
        <v>7</v>
      </c>
      <c r="E225" t="s">
        <v>1575</v>
      </c>
      <c r="F225" t="str" cm="1">
        <f t="array" ref="F225">_xlfn.IFS(Table1[[#This Row],[Country]]="United States","US",Table1[[#This Row],[Country]]="United Kingdom","UK",TRUE,"EU")</f>
        <v>UK</v>
      </c>
      <c r="G225" cm="1">
        <f t="array" ref="G22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26" spans="1:7" x14ac:dyDescent="0.2">
      <c r="A226" t="s">
        <v>464</v>
      </c>
      <c r="B226" t="s">
        <v>465</v>
      </c>
      <c r="C226" t="s">
        <v>17</v>
      </c>
      <c r="D226" t="s">
        <v>18</v>
      </c>
      <c r="E226" t="s">
        <v>1576</v>
      </c>
      <c r="F226" t="str" cm="1">
        <f t="array" ref="F226">_xlfn.IFS(Table1[[#This Row],[Country]]="United States","US",Table1[[#This Row],[Country]]="United Kingdom","UK",TRUE,"EU")</f>
        <v>EU</v>
      </c>
      <c r="G226" cm="1">
        <f t="array" ref="G22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27" spans="1:7" x14ac:dyDescent="0.2">
      <c r="A227" t="s">
        <v>466</v>
      </c>
      <c r="B227" t="s">
        <v>467</v>
      </c>
      <c r="C227" t="s">
        <v>24</v>
      </c>
      <c r="D227" t="s">
        <v>7</v>
      </c>
      <c r="E227" t="s">
        <v>1574</v>
      </c>
      <c r="F227" t="str" cm="1">
        <f t="array" ref="F227">_xlfn.IFS(Table1[[#This Row],[Country]]="United States","US",Table1[[#This Row],[Country]]="United Kingdom","UK",TRUE,"EU")</f>
        <v>US</v>
      </c>
      <c r="G227" cm="1">
        <f t="array" ref="G22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28" spans="1:7" x14ac:dyDescent="0.2">
      <c r="A228" t="s">
        <v>468</v>
      </c>
      <c r="B228" t="s">
        <v>469</v>
      </c>
      <c r="C228" t="s">
        <v>10</v>
      </c>
      <c r="D228" t="s">
        <v>18</v>
      </c>
      <c r="E228" t="s">
        <v>1574</v>
      </c>
      <c r="F228" t="str" cm="1">
        <f t="array" ref="F228">_xlfn.IFS(Table1[[#This Row],[Country]]="United States","US",Table1[[#This Row],[Country]]="United Kingdom","UK",TRUE,"EU")</f>
        <v>US</v>
      </c>
      <c r="G228" cm="1">
        <f t="array" ref="G22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29" spans="1:7" x14ac:dyDescent="0.2">
      <c r="A229" t="s">
        <v>470</v>
      </c>
      <c r="B229" t="s">
        <v>471</v>
      </c>
      <c r="C229" t="s">
        <v>6</v>
      </c>
      <c r="D229" t="s">
        <v>18</v>
      </c>
      <c r="E229" t="s">
        <v>1574</v>
      </c>
      <c r="F229" t="str" cm="1">
        <f t="array" ref="F229">_xlfn.IFS(Table1[[#This Row],[Country]]="United States","US",Table1[[#This Row],[Country]]="United Kingdom","UK",TRUE,"EU")</f>
        <v>US</v>
      </c>
      <c r="G229" cm="1">
        <f t="array" ref="G22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30" spans="1:7" x14ac:dyDescent="0.2">
      <c r="A230" t="s">
        <v>472</v>
      </c>
      <c r="B230" t="s">
        <v>473</v>
      </c>
      <c r="C230" t="s">
        <v>17</v>
      </c>
      <c r="D230" t="s">
        <v>16</v>
      </c>
      <c r="E230" t="s">
        <v>1574</v>
      </c>
      <c r="F230" t="str" cm="1">
        <f t="array" ref="F230">_xlfn.IFS(Table1[[#This Row],[Country]]="United States","US",Table1[[#This Row],[Country]]="United Kingdom","UK",TRUE,"EU")</f>
        <v>US</v>
      </c>
      <c r="G230" cm="1">
        <f t="array" ref="G23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31" spans="1:7" x14ac:dyDescent="0.2">
      <c r="A231" t="s">
        <v>474</v>
      </c>
      <c r="B231" t="s">
        <v>475</v>
      </c>
      <c r="C231" t="s">
        <v>17</v>
      </c>
      <c r="D231" t="s">
        <v>25</v>
      </c>
      <c r="E231" t="s">
        <v>1575</v>
      </c>
      <c r="F231" t="str" cm="1">
        <f t="array" ref="F231">_xlfn.IFS(Table1[[#This Row],[Country]]="United States","US",Table1[[#This Row],[Country]]="United Kingdom","UK",TRUE,"EU")</f>
        <v>UK</v>
      </c>
      <c r="G231" cm="1">
        <f t="array" ref="G23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32" spans="1:7" x14ac:dyDescent="0.2">
      <c r="A232" t="s">
        <v>476</v>
      </c>
      <c r="B232" t="s">
        <v>477</v>
      </c>
      <c r="C232" t="s">
        <v>17</v>
      </c>
      <c r="D232" t="s">
        <v>42</v>
      </c>
      <c r="E232" t="s">
        <v>1574</v>
      </c>
      <c r="F232" t="str" cm="1">
        <f t="array" ref="F232">_xlfn.IFS(Table1[[#This Row],[Country]]="United States","US",Table1[[#This Row],[Country]]="United Kingdom","UK",TRUE,"EU")</f>
        <v>US</v>
      </c>
      <c r="G232" cm="1">
        <f t="array" ref="G23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33" spans="1:7" x14ac:dyDescent="0.2">
      <c r="A233" t="s">
        <v>478</v>
      </c>
      <c r="B233" t="s">
        <v>479</v>
      </c>
      <c r="C233" t="s">
        <v>17</v>
      </c>
      <c r="D233" t="s">
        <v>21</v>
      </c>
      <c r="E233" t="s">
        <v>1574</v>
      </c>
      <c r="F233" t="str" cm="1">
        <f t="array" ref="F233">_xlfn.IFS(Table1[[#This Row],[Country]]="United States","US",Table1[[#This Row],[Country]]="United Kingdom","UK",TRUE,"EU")</f>
        <v>US</v>
      </c>
      <c r="G233" cm="1">
        <f t="array" ref="G23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34" spans="1:7" x14ac:dyDescent="0.2">
      <c r="A234" t="s">
        <v>480</v>
      </c>
      <c r="B234" t="s">
        <v>481</v>
      </c>
      <c r="C234" t="s">
        <v>6</v>
      </c>
      <c r="D234" t="s">
        <v>7</v>
      </c>
      <c r="E234" t="s">
        <v>1574</v>
      </c>
      <c r="F234" t="str" cm="1">
        <f t="array" ref="F234">_xlfn.IFS(Table1[[#This Row],[Country]]="United States","US",Table1[[#This Row],[Country]]="United Kingdom","UK",TRUE,"EU")</f>
        <v>US</v>
      </c>
      <c r="G234" cm="1">
        <f t="array" ref="G23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35" spans="1:7" x14ac:dyDescent="0.2">
      <c r="A235" t="s">
        <v>482</v>
      </c>
      <c r="B235" t="s">
        <v>483</v>
      </c>
      <c r="C235" t="s">
        <v>6</v>
      </c>
      <c r="D235" t="s">
        <v>18</v>
      </c>
      <c r="E235" t="s">
        <v>1574</v>
      </c>
      <c r="F235" t="str" cm="1">
        <f t="array" ref="F235">_xlfn.IFS(Table1[[#This Row],[Country]]="United States","US",Table1[[#This Row],[Country]]="United Kingdom","UK",TRUE,"EU")</f>
        <v>US</v>
      </c>
      <c r="G235" cm="1">
        <f t="array" ref="G23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36" spans="1:7" x14ac:dyDescent="0.2">
      <c r="A236" t="s">
        <v>484</v>
      </c>
      <c r="B236" t="s">
        <v>485</v>
      </c>
      <c r="C236" t="s">
        <v>24</v>
      </c>
      <c r="D236" t="s">
        <v>18</v>
      </c>
      <c r="E236" t="s">
        <v>1574</v>
      </c>
      <c r="F236" t="str" cm="1">
        <f t="array" ref="F236">_xlfn.IFS(Table1[[#This Row],[Country]]="United States","US",Table1[[#This Row],[Country]]="United Kingdom","UK",TRUE,"EU")</f>
        <v>US</v>
      </c>
      <c r="G236" cm="1">
        <f t="array" ref="G23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37" spans="1:7" x14ac:dyDescent="0.2">
      <c r="A237" t="s">
        <v>486</v>
      </c>
      <c r="B237" t="s">
        <v>487</v>
      </c>
      <c r="C237" t="s">
        <v>53</v>
      </c>
      <c r="D237" t="s">
        <v>7</v>
      </c>
      <c r="E237" t="s">
        <v>1574</v>
      </c>
      <c r="F237" t="str" cm="1">
        <f t="array" ref="F237">_xlfn.IFS(Table1[[#This Row],[Country]]="United States","US",Table1[[#This Row],[Country]]="United Kingdom","UK",TRUE,"EU")</f>
        <v>US</v>
      </c>
      <c r="G237" cm="1">
        <f t="array" ref="G23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38" spans="1:7" x14ac:dyDescent="0.2">
      <c r="A238" t="s">
        <v>488</v>
      </c>
      <c r="B238" t="s">
        <v>489</v>
      </c>
      <c r="C238" t="s">
        <v>53</v>
      </c>
      <c r="D238" t="s">
        <v>21</v>
      </c>
      <c r="E238" t="s">
        <v>1574</v>
      </c>
      <c r="F238" t="str" cm="1">
        <f t="array" ref="F238">_xlfn.IFS(Table1[[#This Row],[Country]]="United States","US",Table1[[#This Row],[Country]]="United Kingdom","UK",TRUE,"EU")</f>
        <v>US</v>
      </c>
      <c r="G238" cm="1">
        <f t="array" ref="G23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39" spans="1:7" x14ac:dyDescent="0.2">
      <c r="A239" t="s">
        <v>490</v>
      </c>
      <c r="B239" t="s">
        <v>491</v>
      </c>
      <c r="C239" t="s">
        <v>17</v>
      </c>
      <c r="D239" t="s">
        <v>33</v>
      </c>
      <c r="E239" t="s">
        <v>1575</v>
      </c>
      <c r="F239" t="str" cm="1">
        <f t="array" ref="F239">_xlfn.IFS(Table1[[#This Row],[Country]]="United States","US",Table1[[#This Row],[Country]]="United Kingdom","UK",TRUE,"EU")</f>
        <v>UK</v>
      </c>
      <c r="G239" cm="1">
        <f t="array" ref="G23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240" spans="1:7" x14ac:dyDescent="0.2">
      <c r="A240" t="s">
        <v>492</v>
      </c>
      <c r="B240" t="s">
        <v>493</v>
      </c>
      <c r="C240" t="s">
        <v>17</v>
      </c>
      <c r="D240" t="s">
        <v>18</v>
      </c>
      <c r="E240" t="s">
        <v>1574</v>
      </c>
      <c r="F240" t="str" cm="1">
        <f t="array" ref="F240">_xlfn.IFS(Table1[[#This Row],[Country]]="United States","US",Table1[[#This Row],[Country]]="United Kingdom","UK",TRUE,"EU")</f>
        <v>US</v>
      </c>
      <c r="G240" cm="1">
        <f t="array" ref="G24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41" spans="1:7" x14ac:dyDescent="0.2">
      <c r="A241" t="s">
        <v>494</v>
      </c>
      <c r="B241" t="s">
        <v>495</v>
      </c>
      <c r="C241" t="s">
        <v>17</v>
      </c>
      <c r="D241" t="s">
        <v>25</v>
      </c>
      <c r="E241" t="s">
        <v>1575</v>
      </c>
      <c r="F241" t="str" cm="1">
        <f t="array" ref="F241">_xlfn.IFS(Table1[[#This Row],[Country]]="United States","US",Table1[[#This Row],[Country]]="United Kingdom","UK",TRUE,"EU")</f>
        <v>UK</v>
      </c>
      <c r="G241" cm="1">
        <f t="array" ref="G24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42" spans="1:7" x14ac:dyDescent="0.2">
      <c r="A242" t="s">
        <v>496</v>
      </c>
      <c r="B242" t="s">
        <v>497</v>
      </c>
      <c r="C242" t="s">
        <v>17</v>
      </c>
      <c r="D242" t="s">
        <v>118</v>
      </c>
      <c r="E242" t="s">
        <v>1575</v>
      </c>
      <c r="F242" t="str" cm="1">
        <f t="array" ref="F242">_xlfn.IFS(Table1[[#This Row],[Country]]="United States","US",Table1[[#This Row],[Country]]="United Kingdom","UK",TRUE,"EU")</f>
        <v>UK</v>
      </c>
      <c r="G242" cm="1">
        <f t="array" ref="G24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43" spans="1:7" x14ac:dyDescent="0.2">
      <c r="A243" t="s">
        <v>498</v>
      </c>
      <c r="B243" t="s">
        <v>499</v>
      </c>
      <c r="C243" t="s">
        <v>17</v>
      </c>
      <c r="D243" t="s">
        <v>188</v>
      </c>
      <c r="E243" t="s">
        <v>1574</v>
      </c>
      <c r="F243" t="str" cm="1">
        <f t="array" ref="F243">_xlfn.IFS(Table1[[#This Row],[Country]]="United States","US",Table1[[#This Row],[Country]]="United Kingdom","UK",TRUE,"EU")</f>
        <v>US</v>
      </c>
      <c r="G243" cm="1">
        <f t="array" ref="G24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44" spans="1:7" x14ac:dyDescent="0.2">
      <c r="A244" t="s">
        <v>500</v>
      </c>
      <c r="B244" t="s">
        <v>501</v>
      </c>
      <c r="C244" t="s">
        <v>17</v>
      </c>
      <c r="D244" t="s">
        <v>7</v>
      </c>
      <c r="E244" t="s">
        <v>1575</v>
      </c>
      <c r="F244" t="str" cm="1">
        <f t="array" ref="F244">_xlfn.IFS(Table1[[#This Row],[Country]]="United States","US",Table1[[#This Row],[Country]]="United Kingdom","UK",TRUE,"EU")</f>
        <v>UK</v>
      </c>
      <c r="G244" cm="1">
        <f t="array" ref="G24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45" spans="1:7" x14ac:dyDescent="0.2">
      <c r="A245" t="s">
        <v>502</v>
      </c>
      <c r="B245" t="s">
        <v>503</v>
      </c>
      <c r="C245" t="s">
        <v>10</v>
      </c>
      <c r="D245" t="s">
        <v>11</v>
      </c>
      <c r="E245" t="s">
        <v>1574</v>
      </c>
      <c r="F245" t="str" cm="1">
        <f t="array" ref="F245">_xlfn.IFS(Table1[[#This Row],[Country]]="United States","US",Table1[[#This Row],[Country]]="United Kingdom","UK",TRUE,"EU")</f>
        <v>US</v>
      </c>
      <c r="G245" cm="1">
        <f t="array" ref="G24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246" spans="1:7" x14ac:dyDescent="0.2">
      <c r="A246" t="s">
        <v>504</v>
      </c>
      <c r="B246" t="s">
        <v>505</v>
      </c>
      <c r="C246" t="s">
        <v>17</v>
      </c>
      <c r="D246" t="s">
        <v>42</v>
      </c>
      <c r="E246" t="s">
        <v>1575</v>
      </c>
      <c r="F246" t="str" cm="1">
        <f t="array" ref="F246">_xlfn.IFS(Table1[[#This Row],[Country]]="United States","US",Table1[[#This Row],[Country]]="United Kingdom","UK",TRUE,"EU")</f>
        <v>UK</v>
      </c>
      <c r="G246" cm="1">
        <f t="array" ref="G24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47" spans="1:7" x14ac:dyDescent="0.2">
      <c r="A247" t="s">
        <v>506</v>
      </c>
      <c r="B247" t="s">
        <v>507</v>
      </c>
      <c r="C247" t="s">
        <v>24</v>
      </c>
      <c r="D247" t="s">
        <v>16</v>
      </c>
      <c r="E247" t="s">
        <v>1574</v>
      </c>
      <c r="F247" t="str" cm="1">
        <f t="array" ref="F247">_xlfn.IFS(Table1[[#This Row],[Country]]="United States","US",Table1[[#This Row],[Country]]="United Kingdom","UK",TRUE,"EU")</f>
        <v>US</v>
      </c>
      <c r="G247" cm="1">
        <f t="array" ref="G24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48" spans="1:7" x14ac:dyDescent="0.2">
      <c r="A248" t="s">
        <v>508</v>
      </c>
      <c r="B248" t="s">
        <v>509</v>
      </c>
      <c r="C248" t="s">
        <v>6</v>
      </c>
      <c r="D248" t="s">
        <v>18</v>
      </c>
      <c r="E248" t="s">
        <v>1574</v>
      </c>
      <c r="F248" t="str" cm="1">
        <f t="array" ref="F248">_xlfn.IFS(Table1[[#This Row],[Country]]="United States","US",Table1[[#This Row],[Country]]="United Kingdom","UK",TRUE,"EU")</f>
        <v>US</v>
      </c>
      <c r="G248" cm="1">
        <f t="array" ref="G24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49" spans="1:7" x14ac:dyDescent="0.2">
      <c r="A249" t="s">
        <v>510</v>
      </c>
      <c r="B249" t="s">
        <v>511</v>
      </c>
      <c r="C249" t="s">
        <v>17</v>
      </c>
      <c r="D249" t="s">
        <v>7</v>
      </c>
      <c r="E249" t="s">
        <v>1574</v>
      </c>
      <c r="F249" t="str" cm="1">
        <f t="array" ref="F249">_xlfn.IFS(Table1[[#This Row],[Country]]="United States","US",Table1[[#This Row],[Country]]="United Kingdom","UK",TRUE,"EU")</f>
        <v>US</v>
      </c>
      <c r="G249" cm="1">
        <f t="array" ref="G24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50" spans="1:7" x14ac:dyDescent="0.2">
      <c r="A250" t="s">
        <v>512</v>
      </c>
      <c r="B250" t="s">
        <v>513</v>
      </c>
      <c r="C250" t="s">
        <v>17</v>
      </c>
      <c r="D250" t="s">
        <v>25</v>
      </c>
      <c r="E250" t="s">
        <v>1579</v>
      </c>
      <c r="F250" t="str" cm="1">
        <f t="array" ref="F250">_xlfn.IFS(Table1[[#This Row],[Country]]="United States","US",Table1[[#This Row],[Country]]="United Kingdom","UK",TRUE,"EU")</f>
        <v>EU</v>
      </c>
      <c r="G250" cm="1">
        <f t="array" ref="G25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51" spans="1:7" x14ac:dyDescent="0.2">
      <c r="A251" t="s">
        <v>514</v>
      </c>
      <c r="B251" t="s">
        <v>515</v>
      </c>
      <c r="C251" t="s">
        <v>17</v>
      </c>
      <c r="D251" t="s">
        <v>7</v>
      </c>
      <c r="E251" t="s">
        <v>1574</v>
      </c>
      <c r="F251" t="str" cm="1">
        <f t="array" ref="F251">_xlfn.IFS(Table1[[#This Row],[Country]]="United States","US",Table1[[#This Row],[Country]]="United Kingdom","UK",TRUE,"EU")</f>
        <v>US</v>
      </c>
      <c r="G251" cm="1">
        <f t="array" ref="G25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52" spans="1:7" x14ac:dyDescent="0.2">
      <c r="A252" t="s">
        <v>516</v>
      </c>
      <c r="B252" t="s">
        <v>517</v>
      </c>
      <c r="C252" t="s">
        <v>17</v>
      </c>
      <c r="D252" t="s">
        <v>33</v>
      </c>
      <c r="E252" t="s">
        <v>1579</v>
      </c>
      <c r="F252" t="str" cm="1">
        <f t="array" ref="F252">_xlfn.IFS(Table1[[#This Row],[Country]]="United States","US",Table1[[#This Row],[Country]]="United Kingdom","UK",TRUE,"EU")</f>
        <v>EU</v>
      </c>
      <c r="G252" cm="1">
        <f t="array" ref="G25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253" spans="1:7" x14ac:dyDescent="0.2">
      <c r="A253" t="s">
        <v>518</v>
      </c>
      <c r="B253" t="s">
        <v>519</v>
      </c>
      <c r="C253" t="s">
        <v>10</v>
      </c>
      <c r="D253" t="s">
        <v>33</v>
      </c>
      <c r="E253" t="s">
        <v>1574</v>
      </c>
      <c r="F253" t="str" cm="1">
        <f t="array" ref="F253">_xlfn.IFS(Table1[[#This Row],[Country]]="United States","US",Table1[[#This Row],[Country]]="United Kingdom","UK",TRUE,"EU")</f>
        <v>US</v>
      </c>
      <c r="G253" cm="1">
        <f t="array" ref="G25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254" spans="1:7" x14ac:dyDescent="0.2">
      <c r="A254" t="s">
        <v>520</v>
      </c>
      <c r="B254" t="s">
        <v>521</v>
      </c>
      <c r="C254" t="s">
        <v>17</v>
      </c>
      <c r="D254" t="s">
        <v>7</v>
      </c>
      <c r="E254" t="s">
        <v>1576</v>
      </c>
      <c r="F254" t="str" cm="1">
        <f t="array" ref="F254">_xlfn.IFS(Table1[[#This Row],[Country]]="United States","US",Table1[[#This Row],[Country]]="United Kingdom","UK",TRUE,"EU")</f>
        <v>EU</v>
      </c>
      <c r="G254" cm="1">
        <f t="array" ref="G25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55" spans="1:7" x14ac:dyDescent="0.2">
      <c r="A255" t="s">
        <v>522</v>
      </c>
      <c r="B255" t="s">
        <v>523</v>
      </c>
      <c r="C255" t="s">
        <v>17</v>
      </c>
      <c r="D255" t="s">
        <v>7</v>
      </c>
      <c r="E255" t="s">
        <v>1576</v>
      </c>
      <c r="F255" t="str" cm="1">
        <f t="array" ref="F255">_xlfn.IFS(Table1[[#This Row],[Country]]="United States","US",Table1[[#This Row],[Country]]="United Kingdom","UK",TRUE,"EU")</f>
        <v>EU</v>
      </c>
      <c r="G255" cm="1">
        <f t="array" ref="G25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56" spans="1:7" x14ac:dyDescent="0.2">
      <c r="A256" t="s">
        <v>524</v>
      </c>
      <c r="B256" t="s">
        <v>525</v>
      </c>
      <c r="C256" t="s">
        <v>6</v>
      </c>
      <c r="D256" t="s">
        <v>7</v>
      </c>
      <c r="E256" t="s">
        <v>1579</v>
      </c>
      <c r="F256" t="str" cm="1">
        <f t="array" ref="F256">_xlfn.IFS(Table1[[#This Row],[Country]]="United States","US",Table1[[#This Row],[Country]]="United Kingdom","UK",TRUE,"EU")</f>
        <v>EU</v>
      </c>
      <c r="G256" cm="1">
        <f t="array" ref="G25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57" spans="1:7" x14ac:dyDescent="0.2">
      <c r="A257" t="s">
        <v>526</v>
      </c>
      <c r="B257" t="s">
        <v>527</v>
      </c>
      <c r="C257" t="s">
        <v>6</v>
      </c>
      <c r="D257" t="s">
        <v>7</v>
      </c>
      <c r="E257" t="s">
        <v>1579</v>
      </c>
      <c r="F257" t="str" cm="1">
        <f t="array" ref="F257">_xlfn.IFS(Table1[[#This Row],[Country]]="United States","US",Table1[[#This Row],[Country]]="United Kingdom","UK",TRUE,"EU")</f>
        <v>EU</v>
      </c>
      <c r="G257" cm="1">
        <f t="array" ref="G25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58" spans="1:7" x14ac:dyDescent="0.2">
      <c r="A258" t="s">
        <v>528</v>
      </c>
      <c r="B258" t="s">
        <v>529</v>
      </c>
      <c r="C258" t="s">
        <v>6</v>
      </c>
      <c r="D258" t="s">
        <v>7</v>
      </c>
      <c r="E258" t="s">
        <v>1574</v>
      </c>
      <c r="F258" t="str" cm="1">
        <f t="array" ref="F258">_xlfn.IFS(Table1[[#This Row],[Country]]="United States","US",Table1[[#This Row],[Country]]="United Kingdom","UK",TRUE,"EU")</f>
        <v>US</v>
      </c>
      <c r="G258" cm="1">
        <f t="array" ref="G25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59" spans="1:7" x14ac:dyDescent="0.2">
      <c r="A259" t="s">
        <v>530</v>
      </c>
      <c r="B259" t="s">
        <v>531</v>
      </c>
      <c r="C259" t="s">
        <v>17</v>
      </c>
      <c r="D259" t="s">
        <v>7</v>
      </c>
      <c r="E259" t="s">
        <v>1579</v>
      </c>
      <c r="F259" t="str" cm="1">
        <f t="array" ref="F259">_xlfn.IFS(Table1[[#This Row],[Country]]="United States","US",Table1[[#This Row],[Country]]="United Kingdom","UK",TRUE,"EU")</f>
        <v>EU</v>
      </c>
      <c r="G259" cm="1">
        <f t="array" ref="G25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60" spans="1:7" x14ac:dyDescent="0.2">
      <c r="A260" t="s">
        <v>532</v>
      </c>
      <c r="B260" t="s">
        <v>533</v>
      </c>
      <c r="C260" t="s">
        <v>10</v>
      </c>
      <c r="D260" t="s">
        <v>33</v>
      </c>
      <c r="E260" t="s">
        <v>1574</v>
      </c>
      <c r="F260" t="str" cm="1">
        <f t="array" ref="F260">_xlfn.IFS(Table1[[#This Row],[Country]]="United States","US",Table1[[#This Row],[Country]]="United Kingdom","UK",TRUE,"EU")</f>
        <v>US</v>
      </c>
      <c r="G260" cm="1">
        <f t="array" ref="G26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261" spans="1:7" x14ac:dyDescent="0.2">
      <c r="A261" t="s">
        <v>534</v>
      </c>
      <c r="B261" t="s">
        <v>535</v>
      </c>
      <c r="C261" t="s">
        <v>17</v>
      </c>
      <c r="D261" t="s">
        <v>25</v>
      </c>
      <c r="E261" t="s">
        <v>1574</v>
      </c>
      <c r="F261" t="str" cm="1">
        <f t="array" ref="F261">_xlfn.IFS(Table1[[#This Row],[Country]]="United States","US",Table1[[#This Row],[Country]]="United Kingdom","UK",TRUE,"EU")</f>
        <v>US</v>
      </c>
      <c r="G261" cm="1">
        <f t="array" ref="G26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62" spans="1:7" x14ac:dyDescent="0.2">
      <c r="A262" t="s">
        <v>536</v>
      </c>
      <c r="B262" t="s">
        <v>537</v>
      </c>
      <c r="C262" t="s">
        <v>6</v>
      </c>
      <c r="D262" t="s">
        <v>7</v>
      </c>
      <c r="E262" t="s">
        <v>1576</v>
      </c>
      <c r="F262" t="str" cm="1">
        <f t="array" ref="F262">_xlfn.IFS(Table1[[#This Row],[Country]]="United States","US",Table1[[#This Row],[Country]]="United Kingdom","UK",TRUE,"EU")</f>
        <v>EU</v>
      </c>
      <c r="G262" cm="1">
        <f t="array" ref="G26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63" spans="1:7" x14ac:dyDescent="0.2">
      <c r="A263" t="s">
        <v>538</v>
      </c>
      <c r="B263" t="s">
        <v>539</v>
      </c>
      <c r="C263" t="s">
        <v>17</v>
      </c>
      <c r="D263" t="s">
        <v>33</v>
      </c>
      <c r="E263" t="s">
        <v>1574</v>
      </c>
      <c r="F263" t="str" cm="1">
        <f t="array" ref="F263">_xlfn.IFS(Table1[[#This Row],[Country]]="United States","US",Table1[[#This Row],[Country]]="United Kingdom","UK",TRUE,"EU")</f>
        <v>US</v>
      </c>
      <c r="G263" cm="1">
        <f t="array" ref="G26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264" spans="1:7" x14ac:dyDescent="0.2">
      <c r="A264" t="s">
        <v>540</v>
      </c>
      <c r="B264" t="s">
        <v>541</v>
      </c>
      <c r="C264" t="s">
        <v>6</v>
      </c>
      <c r="D264" t="s">
        <v>42</v>
      </c>
      <c r="E264" t="s">
        <v>1576</v>
      </c>
      <c r="F264" t="str" cm="1">
        <f t="array" ref="F264">_xlfn.IFS(Table1[[#This Row],[Country]]="United States","US",Table1[[#This Row],[Country]]="United Kingdom","UK",TRUE,"EU")</f>
        <v>EU</v>
      </c>
      <c r="G264" cm="1">
        <f t="array" ref="G26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65" spans="1:7" x14ac:dyDescent="0.2">
      <c r="A265" t="s">
        <v>542</v>
      </c>
      <c r="B265" t="s">
        <v>543</v>
      </c>
      <c r="C265" t="s">
        <v>17</v>
      </c>
      <c r="D265" t="s">
        <v>25</v>
      </c>
      <c r="E265" t="s">
        <v>1574</v>
      </c>
      <c r="F265" t="str" cm="1">
        <f t="array" ref="F265">_xlfn.IFS(Table1[[#This Row],[Country]]="United States","US",Table1[[#This Row],[Country]]="United Kingdom","UK",TRUE,"EU")</f>
        <v>US</v>
      </c>
      <c r="G265" cm="1">
        <f t="array" ref="G26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66" spans="1:7" x14ac:dyDescent="0.2">
      <c r="A266" t="s">
        <v>544</v>
      </c>
      <c r="B266" t="s">
        <v>545</v>
      </c>
      <c r="C266" t="s">
        <v>24</v>
      </c>
      <c r="D266" t="s">
        <v>16</v>
      </c>
      <c r="E266" t="s">
        <v>1575</v>
      </c>
      <c r="F266" t="str" cm="1">
        <f t="array" ref="F266">_xlfn.IFS(Table1[[#This Row],[Country]]="United States","US",Table1[[#This Row],[Country]]="United Kingdom","UK",TRUE,"EU")</f>
        <v>UK</v>
      </c>
      <c r="G266" cm="1">
        <f t="array" ref="G26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67" spans="1:7" x14ac:dyDescent="0.2">
      <c r="A267" t="s">
        <v>546</v>
      </c>
      <c r="B267" t="s">
        <v>547</v>
      </c>
      <c r="C267" t="s">
        <v>17</v>
      </c>
      <c r="D267" t="s">
        <v>18</v>
      </c>
      <c r="E267" t="s">
        <v>1576</v>
      </c>
      <c r="F267" t="str" cm="1">
        <f t="array" ref="F267">_xlfn.IFS(Table1[[#This Row],[Country]]="United States","US",Table1[[#This Row],[Country]]="United Kingdom","UK",TRUE,"EU")</f>
        <v>EU</v>
      </c>
      <c r="G267" cm="1">
        <f t="array" ref="G26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68" spans="1:7" x14ac:dyDescent="0.2">
      <c r="A268" t="s">
        <v>548</v>
      </c>
      <c r="B268" t="s">
        <v>549</v>
      </c>
      <c r="C268" t="s">
        <v>6</v>
      </c>
      <c r="D268" t="s">
        <v>25</v>
      </c>
      <c r="E268" t="s">
        <v>1574</v>
      </c>
      <c r="F268" t="str" cm="1">
        <f t="array" ref="F268">_xlfn.IFS(Table1[[#This Row],[Country]]="United States","US",Table1[[#This Row],[Country]]="United Kingdom","UK",TRUE,"EU")</f>
        <v>US</v>
      </c>
      <c r="G268" cm="1">
        <f t="array" ref="G26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69" spans="1:7" x14ac:dyDescent="0.2">
      <c r="A269" t="s">
        <v>550</v>
      </c>
      <c r="B269" t="s">
        <v>551</v>
      </c>
      <c r="C269" t="s">
        <v>6</v>
      </c>
      <c r="D269" t="s">
        <v>18</v>
      </c>
      <c r="E269" t="s">
        <v>1574</v>
      </c>
      <c r="F269" t="str" cm="1">
        <f t="array" ref="F269">_xlfn.IFS(Table1[[#This Row],[Country]]="United States","US",Table1[[#This Row],[Country]]="United Kingdom","UK",TRUE,"EU")</f>
        <v>US</v>
      </c>
      <c r="G269" cm="1">
        <f t="array" ref="G26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70" spans="1:7" x14ac:dyDescent="0.2">
      <c r="A270" t="s">
        <v>552</v>
      </c>
      <c r="B270" t="s">
        <v>553</v>
      </c>
      <c r="C270" t="s">
        <v>17</v>
      </c>
      <c r="D270" t="s">
        <v>7</v>
      </c>
      <c r="E270" t="s">
        <v>1574</v>
      </c>
      <c r="F270" t="str" cm="1">
        <f t="array" ref="F270">_xlfn.IFS(Table1[[#This Row],[Country]]="United States","US",Table1[[#This Row],[Country]]="United Kingdom","UK",TRUE,"EU")</f>
        <v>US</v>
      </c>
      <c r="G270" cm="1">
        <f t="array" ref="G27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71" spans="1:7" x14ac:dyDescent="0.2">
      <c r="A271" t="s">
        <v>554</v>
      </c>
      <c r="B271" t="s">
        <v>555</v>
      </c>
      <c r="C271" t="s">
        <v>24</v>
      </c>
      <c r="D271" t="s">
        <v>42</v>
      </c>
      <c r="E271" t="s">
        <v>1576</v>
      </c>
      <c r="F271" t="str" cm="1">
        <f t="array" ref="F271">_xlfn.IFS(Table1[[#This Row],[Country]]="United States","US",Table1[[#This Row],[Country]]="United Kingdom","UK",TRUE,"EU")</f>
        <v>EU</v>
      </c>
      <c r="G271" cm="1">
        <f t="array" ref="G27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72" spans="1:7" x14ac:dyDescent="0.2">
      <c r="A272" t="s">
        <v>556</v>
      </c>
      <c r="B272" t="s">
        <v>557</v>
      </c>
      <c r="C272" t="s">
        <v>6</v>
      </c>
      <c r="D272" t="s">
        <v>21</v>
      </c>
      <c r="E272" t="s">
        <v>1574</v>
      </c>
      <c r="F272" t="str" cm="1">
        <f t="array" ref="F272">_xlfn.IFS(Table1[[#This Row],[Country]]="United States","US",Table1[[#This Row],[Country]]="United Kingdom","UK",TRUE,"EU")</f>
        <v>US</v>
      </c>
      <c r="G272" cm="1">
        <f t="array" ref="G27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73" spans="1:7" x14ac:dyDescent="0.2">
      <c r="A273" t="s">
        <v>558</v>
      </c>
      <c r="B273" t="s">
        <v>559</v>
      </c>
      <c r="C273" t="s">
        <v>17</v>
      </c>
      <c r="D273" t="s">
        <v>16</v>
      </c>
      <c r="E273" t="s">
        <v>1575</v>
      </c>
      <c r="F273" t="str" cm="1">
        <f t="array" ref="F273">_xlfn.IFS(Table1[[#This Row],[Country]]="United States","US",Table1[[#This Row],[Country]]="United Kingdom","UK",TRUE,"EU")</f>
        <v>UK</v>
      </c>
      <c r="G273" cm="1">
        <f t="array" ref="G27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74" spans="1:7" x14ac:dyDescent="0.2">
      <c r="A274" t="s">
        <v>560</v>
      </c>
      <c r="B274" t="s">
        <v>561</v>
      </c>
      <c r="C274" t="s">
        <v>24</v>
      </c>
      <c r="D274" t="s">
        <v>25</v>
      </c>
      <c r="E274" t="s">
        <v>1574</v>
      </c>
      <c r="F274" t="str" cm="1">
        <f t="array" ref="F274">_xlfn.IFS(Table1[[#This Row],[Country]]="United States","US",Table1[[#This Row],[Country]]="United Kingdom","UK",TRUE,"EU")</f>
        <v>US</v>
      </c>
      <c r="G274" cm="1">
        <f t="array" ref="G27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75" spans="1:7" x14ac:dyDescent="0.2">
      <c r="A275" t="s">
        <v>562</v>
      </c>
      <c r="B275" t="s">
        <v>563</v>
      </c>
      <c r="C275" t="s">
        <v>17</v>
      </c>
      <c r="D275" t="s">
        <v>7</v>
      </c>
      <c r="E275" t="s">
        <v>1576</v>
      </c>
      <c r="F275" t="str" cm="1">
        <f t="array" ref="F275">_xlfn.IFS(Table1[[#This Row],[Country]]="United States","US",Table1[[#This Row],[Country]]="United Kingdom","UK",TRUE,"EU")</f>
        <v>EU</v>
      </c>
      <c r="G275" cm="1">
        <f t="array" ref="G27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76" spans="1:7" x14ac:dyDescent="0.2">
      <c r="A276" t="s">
        <v>564</v>
      </c>
      <c r="B276" t="s">
        <v>565</v>
      </c>
      <c r="C276" t="s">
        <v>6</v>
      </c>
      <c r="D276" t="s">
        <v>21</v>
      </c>
      <c r="E276" t="s">
        <v>1574</v>
      </c>
      <c r="F276" t="str" cm="1">
        <f t="array" ref="F276">_xlfn.IFS(Table1[[#This Row],[Country]]="United States","US",Table1[[#This Row],[Country]]="United Kingdom","UK",TRUE,"EU")</f>
        <v>US</v>
      </c>
      <c r="G276" cm="1">
        <f t="array" ref="G27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77" spans="1:7" x14ac:dyDescent="0.2">
      <c r="A277" t="s">
        <v>566</v>
      </c>
      <c r="B277" t="s">
        <v>567</v>
      </c>
      <c r="C277" t="s">
        <v>6</v>
      </c>
      <c r="D277" t="s">
        <v>16</v>
      </c>
      <c r="E277" t="s">
        <v>1575</v>
      </c>
      <c r="F277" t="str" cm="1">
        <f t="array" ref="F277">_xlfn.IFS(Table1[[#This Row],[Country]]="United States","US",Table1[[#This Row],[Country]]="United Kingdom","UK",TRUE,"EU")</f>
        <v>UK</v>
      </c>
      <c r="G277" cm="1">
        <f t="array" ref="G27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78" spans="1:7" x14ac:dyDescent="0.2">
      <c r="A278" t="s">
        <v>568</v>
      </c>
      <c r="B278" t="s">
        <v>569</v>
      </c>
      <c r="C278" t="s">
        <v>17</v>
      </c>
      <c r="D278" t="s">
        <v>7</v>
      </c>
      <c r="E278" t="s">
        <v>1576</v>
      </c>
      <c r="F278" t="str" cm="1">
        <f t="array" ref="F278">_xlfn.IFS(Table1[[#This Row],[Country]]="United States","US",Table1[[#This Row],[Country]]="United Kingdom","UK",TRUE,"EU")</f>
        <v>EU</v>
      </c>
      <c r="G278" cm="1">
        <f t="array" ref="G27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79" spans="1:7" x14ac:dyDescent="0.2">
      <c r="A279" t="s">
        <v>570</v>
      </c>
      <c r="B279" t="s">
        <v>571</v>
      </c>
      <c r="C279" t="s">
        <v>10</v>
      </c>
      <c r="D279" t="s">
        <v>7</v>
      </c>
      <c r="E279" t="s">
        <v>1574</v>
      </c>
      <c r="F279" t="str" cm="1">
        <f t="array" ref="F279">_xlfn.IFS(Table1[[#This Row],[Country]]="United States","US",Table1[[#This Row],[Country]]="United Kingdom","UK",TRUE,"EU")</f>
        <v>US</v>
      </c>
      <c r="G279" cm="1">
        <f t="array" ref="G27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80" spans="1:7" x14ac:dyDescent="0.2">
      <c r="A280" t="s">
        <v>572</v>
      </c>
      <c r="B280" t="s">
        <v>573</v>
      </c>
      <c r="C280" t="s">
        <v>6</v>
      </c>
      <c r="D280" t="s">
        <v>33</v>
      </c>
      <c r="E280" t="s">
        <v>1575</v>
      </c>
      <c r="F280" t="str" cm="1">
        <f t="array" ref="F280">_xlfn.IFS(Table1[[#This Row],[Country]]="United States","US",Table1[[#This Row],[Country]]="United Kingdom","UK",TRUE,"EU")</f>
        <v>UK</v>
      </c>
      <c r="G280" cm="1">
        <f t="array" ref="G28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281" spans="1:7" x14ac:dyDescent="0.2">
      <c r="A281" t="s">
        <v>574</v>
      </c>
      <c r="B281" t="s">
        <v>575</v>
      </c>
      <c r="C281" t="s">
        <v>6</v>
      </c>
      <c r="D281" t="s">
        <v>25</v>
      </c>
      <c r="E281" t="s">
        <v>1574</v>
      </c>
      <c r="F281" t="str" cm="1">
        <f t="array" ref="F281">_xlfn.IFS(Table1[[#This Row],[Country]]="United States","US",Table1[[#This Row],[Country]]="United Kingdom","UK",TRUE,"EU")</f>
        <v>US</v>
      </c>
      <c r="G281" cm="1">
        <f t="array" ref="G28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82" spans="1:7" x14ac:dyDescent="0.2">
      <c r="A282" t="s">
        <v>576</v>
      </c>
      <c r="B282" t="s">
        <v>577</v>
      </c>
      <c r="C282" t="s">
        <v>17</v>
      </c>
      <c r="D282" t="s">
        <v>16</v>
      </c>
      <c r="E282" t="s">
        <v>1574</v>
      </c>
      <c r="F282" t="str" cm="1">
        <f t="array" ref="F282">_xlfn.IFS(Table1[[#This Row],[Country]]="United States","US",Table1[[#This Row],[Country]]="United Kingdom","UK",TRUE,"EU")</f>
        <v>US</v>
      </c>
      <c r="G282" cm="1">
        <f t="array" ref="G28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83" spans="1:7" x14ac:dyDescent="0.2">
      <c r="A283" t="s">
        <v>578</v>
      </c>
      <c r="B283" t="s">
        <v>579</v>
      </c>
      <c r="C283" t="s">
        <v>6</v>
      </c>
      <c r="D283" t="s">
        <v>18</v>
      </c>
      <c r="E283" t="s">
        <v>1574</v>
      </c>
      <c r="F283" t="str" cm="1">
        <f t="array" ref="F283">_xlfn.IFS(Table1[[#This Row],[Country]]="United States","US",Table1[[#This Row],[Country]]="United Kingdom","UK",TRUE,"EU")</f>
        <v>US</v>
      </c>
      <c r="G283" cm="1">
        <f t="array" ref="G28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84" spans="1:7" x14ac:dyDescent="0.2">
      <c r="A284" t="s">
        <v>580</v>
      </c>
      <c r="B284" t="s">
        <v>581</v>
      </c>
      <c r="C284" t="s">
        <v>6</v>
      </c>
      <c r="D284" t="s">
        <v>18</v>
      </c>
      <c r="E284" t="s">
        <v>1574</v>
      </c>
      <c r="F284" t="str" cm="1">
        <f t="array" ref="F284">_xlfn.IFS(Table1[[#This Row],[Country]]="United States","US",Table1[[#This Row],[Country]]="United Kingdom","UK",TRUE,"EU")</f>
        <v>US</v>
      </c>
      <c r="G284" cm="1">
        <f t="array" ref="G28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85" spans="1:7" x14ac:dyDescent="0.2">
      <c r="A285" t="s">
        <v>582</v>
      </c>
      <c r="B285" t="s">
        <v>583</v>
      </c>
      <c r="C285" t="s">
        <v>6</v>
      </c>
      <c r="D285" t="s">
        <v>25</v>
      </c>
      <c r="E285" t="s">
        <v>1574</v>
      </c>
      <c r="F285" t="str" cm="1">
        <f t="array" ref="F285">_xlfn.IFS(Table1[[#This Row],[Country]]="United States","US",Table1[[#This Row],[Country]]="United Kingdom","UK",TRUE,"EU")</f>
        <v>US</v>
      </c>
      <c r="G285" cm="1">
        <f t="array" ref="G28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86" spans="1:7" x14ac:dyDescent="0.2">
      <c r="A286" t="s">
        <v>584</v>
      </c>
      <c r="B286" t="s">
        <v>585</v>
      </c>
      <c r="C286" t="s">
        <v>17</v>
      </c>
      <c r="D286" t="s">
        <v>42</v>
      </c>
      <c r="E286" t="s">
        <v>1575</v>
      </c>
      <c r="F286" t="str" cm="1">
        <f t="array" ref="F286">_xlfn.IFS(Table1[[#This Row],[Country]]="United States","US",Table1[[#This Row],[Country]]="United Kingdom","UK",TRUE,"EU")</f>
        <v>UK</v>
      </c>
      <c r="G286" cm="1">
        <f t="array" ref="G28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87" spans="1:7" x14ac:dyDescent="0.2">
      <c r="A287" t="s">
        <v>586</v>
      </c>
      <c r="B287" t="s">
        <v>587</v>
      </c>
      <c r="C287" t="s">
        <v>6</v>
      </c>
      <c r="D287" t="s">
        <v>33</v>
      </c>
      <c r="E287" t="s">
        <v>1574</v>
      </c>
      <c r="F287" t="str" cm="1">
        <f t="array" ref="F287">_xlfn.IFS(Table1[[#This Row],[Country]]="United States","US",Table1[[#This Row],[Country]]="United Kingdom","UK",TRUE,"EU")</f>
        <v>US</v>
      </c>
      <c r="G287" cm="1">
        <f t="array" ref="G28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288" spans="1:7" x14ac:dyDescent="0.2">
      <c r="A288" t="s">
        <v>588</v>
      </c>
      <c r="B288" t="s">
        <v>589</v>
      </c>
      <c r="C288" t="s">
        <v>17</v>
      </c>
      <c r="D288" t="s">
        <v>25</v>
      </c>
      <c r="E288" t="s">
        <v>1574</v>
      </c>
      <c r="F288" t="str" cm="1">
        <f t="array" ref="F288">_xlfn.IFS(Table1[[#This Row],[Country]]="United States","US",Table1[[#This Row],[Country]]="United Kingdom","UK",TRUE,"EU")</f>
        <v>US</v>
      </c>
      <c r="G288" cm="1">
        <f t="array" ref="G28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89" spans="1:7" x14ac:dyDescent="0.2">
      <c r="A289" t="s">
        <v>590</v>
      </c>
      <c r="B289" t="s">
        <v>591</v>
      </c>
      <c r="C289" t="s">
        <v>10</v>
      </c>
      <c r="D289" t="s">
        <v>11</v>
      </c>
      <c r="E289" t="s">
        <v>1574</v>
      </c>
      <c r="F289" t="str" cm="1">
        <f t="array" ref="F289">_xlfn.IFS(Table1[[#This Row],[Country]]="United States","US",Table1[[#This Row],[Country]]="United Kingdom","UK",TRUE,"EU")</f>
        <v>US</v>
      </c>
      <c r="G289" cm="1">
        <f t="array" ref="G28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290" spans="1:7" x14ac:dyDescent="0.2">
      <c r="A290" t="s">
        <v>592</v>
      </c>
      <c r="B290" t="s">
        <v>593</v>
      </c>
      <c r="C290" t="s">
        <v>6</v>
      </c>
      <c r="D290" t="s">
        <v>7</v>
      </c>
      <c r="E290" t="s">
        <v>1575</v>
      </c>
      <c r="F290" t="str" cm="1">
        <f t="array" ref="F290">_xlfn.IFS(Table1[[#This Row],[Country]]="United States","US",Table1[[#This Row],[Country]]="United Kingdom","UK",TRUE,"EU")</f>
        <v>UK</v>
      </c>
      <c r="G290" cm="1">
        <f t="array" ref="G29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91" spans="1:7" x14ac:dyDescent="0.2">
      <c r="A291" t="s">
        <v>594</v>
      </c>
      <c r="B291" t="s">
        <v>595</v>
      </c>
      <c r="C291" t="s">
        <v>17</v>
      </c>
      <c r="D291" t="s">
        <v>25</v>
      </c>
      <c r="E291" t="s">
        <v>1576</v>
      </c>
      <c r="F291" t="str" cm="1">
        <f t="array" ref="F291">_xlfn.IFS(Table1[[#This Row],[Country]]="United States","US",Table1[[#This Row],[Country]]="United Kingdom","UK",TRUE,"EU")</f>
        <v>EU</v>
      </c>
      <c r="G291" cm="1">
        <f t="array" ref="G29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92" spans="1:7" x14ac:dyDescent="0.2">
      <c r="A292" t="s">
        <v>596</v>
      </c>
      <c r="B292" t="s">
        <v>597</v>
      </c>
      <c r="C292" t="s">
        <v>10</v>
      </c>
      <c r="D292" t="s">
        <v>11</v>
      </c>
      <c r="E292" t="s">
        <v>1574</v>
      </c>
      <c r="F292" t="str" cm="1">
        <f t="array" ref="F292">_xlfn.IFS(Table1[[#This Row],[Country]]="United States","US",Table1[[#This Row],[Country]]="United Kingdom","UK",TRUE,"EU")</f>
        <v>US</v>
      </c>
      <c r="G292" cm="1">
        <f t="array" ref="G29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293" spans="1:7" x14ac:dyDescent="0.2">
      <c r="A293" t="s">
        <v>598</v>
      </c>
      <c r="B293" t="s">
        <v>599</v>
      </c>
      <c r="C293" t="s">
        <v>10</v>
      </c>
      <c r="D293" t="s">
        <v>11</v>
      </c>
      <c r="E293" t="s">
        <v>1576</v>
      </c>
      <c r="F293" t="str" cm="1">
        <f t="array" ref="F293">_xlfn.IFS(Table1[[#This Row],[Country]]="United States","US",Table1[[#This Row],[Country]]="United Kingdom","UK",TRUE,"EU")</f>
        <v>EU</v>
      </c>
      <c r="G293" cm="1">
        <f t="array" ref="G29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294" spans="1:7" x14ac:dyDescent="0.2">
      <c r="A294" t="s">
        <v>600</v>
      </c>
      <c r="B294" t="s">
        <v>601</v>
      </c>
      <c r="C294" t="s">
        <v>6</v>
      </c>
      <c r="D294" t="s">
        <v>21</v>
      </c>
      <c r="E294" t="s">
        <v>1574</v>
      </c>
      <c r="F294" t="str" cm="1">
        <f t="array" ref="F294">_xlfn.IFS(Table1[[#This Row],[Country]]="United States","US",Table1[[#This Row],[Country]]="United Kingdom","UK",TRUE,"EU")</f>
        <v>US</v>
      </c>
      <c r="G294" cm="1">
        <f t="array" ref="G29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295" spans="1:7" x14ac:dyDescent="0.2">
      <c r="A295" t="s">
        <v>602</v>
      </c>
      <c r="B295" t="s">
        <v>603</v>
      </c>
      <c r="C295" t="s">
        <v>10</v>
      </c>
      <c r="D295" t="s">
        <v>33</v>
      </c>
      <c r="E295" t="s">
        <v>1576</v>
      </c>
      <c r="F295" t="str" cm="1">
        <f t="array" ref="F295">_xlfn.IFS(Table1[[#This Row],[Country]]="United States","US",Table1[[#This Row],[Country]]="United Kingdom","UK",TRUE,"EU")</f>
        <v>EU</v>
      </c>
      <c r="G295" cm="1">
        <f t="array" ref="G29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296" spans="1:7" x14ac:dyDescent="0.2">
      <c r="A296" t="s">
        <v>604</v>
      </c>
      <c r="B296" t="s">
        <v>605</v>
      </c>
      <c r="C296" t="s">
        <v>6</v>
      </c>
      <c r="D296" t="s">
        <v>11</v>
      </c>
      <c r="E296" t="s">
        <v>1574</v>
      </c>
      <c r="F296" t="str" cm="1">
        <f t="array" ref="F296">_xlfn.IFS(Table1[[#This Row],[Country]]="United States","US",Table1[[#This Row],[Country]]="United Kingdom","UK",TRUE,"EU")</f>
        <v>US</v>
      </c>
      <c r="G296" cm="1">
        <f t="array" ref="G29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297" spans="1:7" x14ac:dyDescent="0.2">
      <c r="A297" t="s">
        <v>606</v>
      </c>
      <c r="B297" t="s">
        <v>607</v>
      </c>
      <c r="C297" t="s">
        <v>6</v>
      </c>
      <c r="D297" t="s">
        <v>18</v>
      </c>
      <c r="E297" t="s">
        <v>1575</v>
      </c>
      <c r="F297" t="str" cm="1">
        <f t="array" ref="F297">_xlfn.IFS(Table1[[#This Row],[Country]]="United States","US",Table1[[#This Row],[Country]]="United Kingdom","UK",TRUE,"EU")</f>
        <v>UK</v>
      </c>
      <c r="G297" cm="1">
        <f t="array" ref="G29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98" spans="1:7" x14ac:dyDescent="0.2">
      <c r="A298" t="s">
        <v>608</v>
      </c>
      <c r="B298" t="s">
        <v>609</v>
      </c>
      <c r="C298" t="s">
        <v>6</v>
      </c>
      <c r="D298" t="s">
        <v>18</v>
      </c>
      <c r="E298" t="s">
        <v>1574</v>
      </c>
      <c r="F298" t="str" cm="1">
        <f t="array" ref="F298">_xlfn.IFS(Table1[[#This Row],[Country]]="United States","US",Table1[[#This Row],[Country]]="United Kingdom","UK",TRUE,"EU")</f>
        <v>US</v>
      </c>
      <c r="G298" cm="1">
        <f t="array" ref="G29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299" spans="1:7" x14ac:dyDescent="0.2">
      <c r="A299" t="s">
        <v>610</v>
      </c>
      <c r="B299" t="s">
        <v>611</v>
      </c>
      <c r="C299" t="s">
        <v>6</v>
      </c>
      <c r="D299" t="s">
        <v>18</v>
      </c>
      <c r="E299" t="s">
        <v>1574</v>
      </c>
      <c r="F299" t="str" cm="1">
        <f t="array" ref="F299">_xlfn.IFS(Table1[[#This Row],[Country]]="United States","US",Table1[[#This Row],[Country]]="United Kingdom","UK",TRUE,"EU")</f>
        <v>US</v>
      </c>
      <c r="G299" cm="1">
        <f t="array" ref="G29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00" spans="1:7" x14ac:dyDescent="0.2">
      <c r="A300" t="s">
        <v>612</v>
      </c>
      <c r="B300" t="s">
        <v>613</v>
      </c>
      <c r="C300" t="s">
        <v>10</v>
      </c>
      <c r="D300" t="s">
        <v>25</v>
      </c>
      <c r="E300" t="s">
        <v>1574</v>
      </c>
      <c r="F300" t="str" cm="1">
        <f t="array" ref="F300">_xlfn.IFS(Table1[[#This Row],[Country]]="United States","US",Table1[[#This Row],[Country]]="United Kingdom","UK",TRUE,"EU")</f>
        <v>US</v>
      </c>
      <c r="G300" cm="1">
        <f t="array" ref="G30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301" spans="1:7" x14ac:dyDescent="0.2">
      <c r="A301" t="s">
        <v>614</v>
      </c>
      <c r="B301" t="s">
        <v>615</v>
      </c>
      <c r="C301" t="s">
        <v>10</v>
      </c>
      <c r="D301" t="s">
        <v>33</v>
      </c>
      <c r="E301" t="s">
        <v>1574</v>
      </c>
      <c r="F301" t="str" cm="1">
        <f t="array" ref="F301">_xlfn.IFS(Table1[[#This Row],[Country]]="United States","US",Table1[[#This Row],[Country]]="United Kingdom","UK",TRUE,"EU")</f>
        <v>US</v>
      </c>
      <c r="G301" cm="1">
        <f t="array" ref="G30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302" spans="1:7" x14ac:dyDescent="0.2">
      <c r="A302" t="s">
        <v>616</v>
      </c>
      <c r="B302" t="s">
        <v>617</v>
      </c>
      <c r="C302" t="s">
        <v>17</v>
      </c>
      <c r="D302" t="s">
        <v>42</v>
      </c>
      <c r="E302" t="s">
        <v>1575</v>
      </c>
      <c r="F302" t="str" cm="1">
        <f t="array" ref="F302">_xlfn.IFS(Table1[[#This Row],[Country]]="United States","US",Table1[[#This Row],[Country]]="United Kingdom","UK",TRUE,"EU")</f>
        <v>UK</v>
      </c>
      <c r="G302" cm="1">
        <f t="array" ref="G30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03" spans="1:7" x14ac:dyDescent="0.2">
      <c r="A303" t="s">
        <v>618</v>
      </c>
      <c r="B303" t="s">
        <v>619</v>
      </c>
      <c r="C303" t="s">
        <v>6</v>
      </c>
      <c r="D303" t="s">
        <v>16</v>
      </c>
      <c r="E303" t="s">
        <v>1574</v>
      </c>
      <c r="F303" t="str" cm="1">
        <f t="array" ref="F303">_xlfn.IFS(Table1[[#This Row],[Country]]="United States","US",Table1[[#This Row],[Country]]="United Kingdom","UK",TRUE,"EU")</f>
        <v>US</v>
      </c>
      <c r="G303" cm="1">
        <f t="array" ref="G30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04" spans="1:7" x14ac:dyDescent="0.2">
      <c r="A304" t="s">
        <v>620</v>
      </c>
      <c r="B304" t="s">
        <v>621</v>
      </c>
      <c r="C304" t="s">
        <v>6</v>
      </c>
      <c r="D304" t="s">
        <v>18</v>
      </c>
      <c r="E304" t="s">
        <v>1574</v>
      </c>
      <c r="F304" t="str" cm="1">
        <f t="array" ref="F304">_xlfn.IFS(Table1[[#This Row],[Country]]="United States","US",Table1[[#This Row],[Country]]="United Kingdom","UK",TRUE,"EU")</f>
        <v>US</v>
      </c>
      <c r="G304" cm="1">
        <f t="array" ref="G30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05" spans="1:7" x14ac:dyDescent="0.2">
      <c r="A305" t="s">
        <v>622</v>
      </c>
      <c r="B305" t="s">
        <v>623</v>
      </c>
      <c r="C305" t="s">
        <v>24</v>
      </c>
      <c r="D305" t="s">
        <v>16</v>
      </c>
      <c r="E305" t="s">
        <v>1574</v>
      </c>
      <c r="F305" t="str" cm="1">
        <f t="array" ref="F305">_xlfn.IFS(Table1[[#This Row],[Country]]="United States","US",Table1[[#This Row],[Country]]="United Kingdom","UK",TRUE,"EU")</f>
        <v>US</v>
      </c>
      <c r="G305" cm="1">
        <f t="array" ref="G30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06" spans="1:7" x14ac:dyDescent="0.2">
      <c r="A306" t="s">
        <v>624</v>
      </c>
      <c r="B306" t="s">
        <v>625</v>
      </c>
      <c r="C306" t="s">
        <v>17</v>
      </c>
      <c r="D306" t="s">
        <v>7</v>
      </c>
      <c r="E306" t="s">
        <v>1574</v>
      </c>
      <c r="F306" t="str" cm="1">
        <f t="array" ref="F306">_xlfn.IFS(Table1[[#This Row],[Country]]="United States","US",Table1[[#This Row],[Country]]="United Kingdom","UK",TRUE,"EU")</f>
        <v>US</v>
      </c>
      <c r="G306" cm="1">
        <f t="array" ref="G30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07" spans="1:7" x14ac:dyDescent="0.2">
      <c r="A307" t="s">
        <v>626</v>
      </c>
      <c r="B307" t="s">
        <v>627</v>
      </c>
      <c r="C307" t="s">
        <v>17</v>
      </c>
      <c r="D307" t="s">
        <v>7</v>
      </c>
      <c r="E307" t="s">
        <v>1575</v>
      </c>
      <c r="F307" t="str" cm="1">
        <f t="array" ref="F307">_xlfn.IFS(Table1[[#This Row],[Country]]="United States","US",Table1[[#This Row],[Country]]="United Kingdom","UK",TRUE,"EU")</f>
        <v>UK</v>
      </c>
      <c r="G307" cm="1">
        <f t="array" ref="G30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08" spans="1:7" x14ac:dyDescent="0.2">
      <c r="A308" t="s">
        <v>628</v>
      </c>
      <c r="B308" t="s">
        <v>629</v>
      </c>
      <c r="C308" t="s">
        <v>17</v>
      </c>
      <c r="D308" t="s">
        <v>33</v>
      </c>
      <c r="E308" t="s">
        <v>1575</v>
      </c>
      <c r="F308" t="str" cm="1">
        <f t="array" ref="F308">_xlfn.IFS(Table1[[#This Row],[Country]]="United States","US",Table1[[#This Row],[Country]]="United Kingdom","UK",TRUE,"EU")</f>
        <v>UK</v>
      </c>
      <c r="G308" cm="1">
        <f t="array" ref="G30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309" spans="1:7" x14ac:dyDescent="0.2">
      <c r="A309" t="s">
        <v>630</v>
      </c>
      <c r="B309" t="s">
        <v>631</v>
      </c>
      <c r="C309" t="s">
        <v>6</v>
      </c>
      <c r="D309" t="s">
        <v>25</v>
      </c>
      <c r="E309" t="s">
        <v>1575</v>
      </c>
      <c r="F309" t="str" cm="1">
        <f t="array" ref="F309">_xlfn.IFS(Table1[[#This Row],[Country]]="United States","US",Table1[[#This Row],[Country]]="United Kingdom","UK",TRUE,"EU")</f>
        <v>UK</v>
      </c>
      <c r="G309" cm="1">
        <f t="array" ref="G30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310" spans="1:7" x14ac:dyDescent="0.2">
      <c r="A310" t="s">
        <v>632</v>
      </c>
      <c r="B310" t="s">
        <v>633</v>
      </c>
      <c r="C310" t="s">
        <v>6</v>
      </c>
      <c r="D310" t="s">
        <v>18</v>
      </c>
      <c r="E310" t="s">
        <v>1574</v>
      </c>
      <c r="F310" t="str" cm="1">
        <f t="array" ref="F310">_xlfn.IFS(Table1[[#This Row],[Country]]="United States","US",Table1[[#This Row],[Country]]="United Kingdom","UK",TRUE,"EU")</f>
        <v>US</v>
      </c>
      <c r="G310" cm="1">
        <f t="array" ref="G31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11" spans="1:7" x14ac:dyDescent="0.2">
      <c r="A311" t="s">
        <v>634</v>
      </c>
      <c r="B311" t="s">
        <v>635</v>
      </c>
      <c r="C311" t="s">
        <v>17</v>
      </c>
      <c r="D311" t="s">
        <v>16</v>
      </c>
      <c r="E311" t="s">
        <v>1574</v>
      </c>
      <c r="F311" t="str" cm="1">
        <f t="array" ref="F311">_xlfn.IFS(Table1[[#This Row],[Country]]="United States","US",Table1[[#This Row],[Country]]="United Kingdom","UK",TRUE,"EU")</f>
        <v>US</v>
      </c>
      <c r="G311" cm="1">
        <f t="array" ref="G31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12" spans="1:7" x14ac:dyDescent="0.2">
      <c r="A312" t="s">
        <v>636</v>
      </c>
      <c r="B312" t="s">
        <v>637</v>
      </c>
      <c r="C312" t="s">
        <v>53</v>
      </c>
      <c r="D312" t="s">
        <v>42</v>
      </c>
      <c r="E312" t="s">
        <v>1576</v>
      </c>
      <c r="F312" t="str" cm="1">
        <f t="array" ref="F312">_xlfn.IFS(Table1[[#This Row],[Country]]="United States","US",Table1[[#This Row],[Country]]="United Kingdom","UK",TRUE,"EU")</f>
        <v>EU</v>
      </c>
      <c r="G312" cm="1">
        <f t="array" ref="G31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13" spans="1:7" x14ac:dyDescent="0.2">
      <c r="A313" t="s">
        <v>638</v>
      </c>
      <c r="B313" t="s">
        <v>639</v>
      </c>
      <c r="C313" t="s">
        <v>6</v>
      </c>
      <c r="D313" t="s">
        <v>16</v>
      </c>
      <c r="E313" t="s">
        <v>1576</v>
      </c>
      <c r="F313" t="str" cm="1">
        <f t="array" ref="F313">_xlfn.IFS(Table1[[#This Row],[Country]]="United States","US",Table1[[#This Row],[Country]]="United Kingdom","UK",TRUE,"EU")</f>
        <v>EU</v>
      </c>
      <c r="G313" cm="1">
        <f t="array" ref="G31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14" spans="1:7" x14ac:dyDescent="0.2">
      <c r="A314" t="s">
        <v>640</v>
      </c>
      <c r="B314" t="s">
        <v>641</v>
      </c>
      <c r="C314" t="s">
        <v>24</v>
      </c>
      <c r="D314" t="s">
        <v>7</v>
      </c>
      <c r="E314" t="s">
        <v>1574</v>
      </c>
      <c r="F314" t="str" cm="1">
        <f t="array" ref="F314">_xlfn.IFS(Table1[[#This Row],[Country]]="United States","US",Table1[[#This Row],[Country]]="United Kingdom","UK",TRUE,"EU")</f>
        <v>US</v>
      </c>
      <c r="G314" cm="1">
        <f t="array" ref="G31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15" spans="1:7" x14ac:dyDescent="0.2">
      <c r="A315" t="s">
        <v>642</v>
      </c>
      <c r="B315" t="s">
        <v>643</v>
      </c>
      <c r="C315" t="s">
        <v>17</v>
      </c>
      <c r="D315" t="s">
        <v>16</v>
      </c>
      <c r="E315" t="s">
        <v>1574</v>
      </c>
      <c r="F315" t="str" cm="1">
        <f t="array" ref="F315">_xlfn.IFS(Table1[[#This Row],[Country]]="United States","US",Table1[[#This Row],[Country]]="United Kingdom","UK",TRUE,"EU")</f>
        <v>US</v>
      </c>
      <c r="G315" cm="1">
        <f t="array" ref="G31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16" spans="1:7" x14ac:dyDescent="0.2">
      <c r="A316" t="s">
        <v>644</v>
      </c>
      <c r="B316" t="s">
        <v>645</v>
      </c>
      <c r="C316" t="s">
        <v>10</v>
      </c>
      <c r="D316" t="s">
        <v>118</v>
      </c>
      <c r="E316" t="s">
        <v>1574</v>
      </c>
      <c r="F316" t="str" cm="1">
        <f t="array" ref="F316">_xlfn.IFS(Table1[[#This Row],[Country]]="United States","US",Table1[[#This Row],[Country]]="United Kingdom","UK",TRUE,"EU")</f>
        <v>US</v>
      </c>
      <c r="G316" cm="1">
        <f t="array" ref="G31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17" spans="1:7" x14ac:dyDescent="0.2">
      <c r="A317" t="s">
        <v>646</v>
      </c>
      <c r="B317" t="s">
        <v>647</v>
      </c>
      <c r="C317" t="s">
        <v>24</v>
      </c>
      <c r="D317" t="s">
        <v>33</v>
      </c>
      <c r="E317" t="s">
        <v>1574</v>
      </c>
      <c r="F317" t="str" cm="1">
        <f t="array" ref="F317">_xlfn.IFS(Table1[[#This Row],[Country]]="United States","US",Table1[[#This Row],[Country]]="United Kingdom","UK",TRUE,"EU")</f>
        <v>US</v>
      </c>
      <c r="G317" cm="1">
        <f t="array" ref="G31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318" spans="1:7" x14ac:dyDescent="0.2">
      <c r="A318" t="s">
        <v>648</v>
      </c>
      <c r="B318" t="s">
        <v>649</v>
      </c>
      <c r="C318" t="s">
        <v>10</v>
      </c>
      <c r="D318" t="s">
        <v>33</v>
      </c>
      <c r="E318" t="s">
        <v>1574</v>
      </c>
      <c r="F318" t="str" cm="1">
        <f t="array" ref="F318">_xlfn.IFS(Table1[[#This Row],[Country]]="United States","US",Table1[[#This Row],[Country]]="United Kingdom","UK",TRUE,"EU")</f>
        <v>US</v>
      </c>
      <c r="G318" cm="1">
        <f t="array" ref="G31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319" spans="1:7" x14ac:dyDescent="0.2">
      <c r="A319" t="s">
        <v>650</v>
      </c>
      <c r="B319" t="s">
        <v>651</v>
      </c>
      <c r="C319" t="s">
        <v>6</v>
      </c>
      <c r="D319" t="s">
        <v>18</v>
      </c>
      <c r="E319" t="s">
        <v>1574</v>
      </c>
      <c r="F319" t="str" cm="1">
        <f t="array" ref="F319">_xlfn.IFS(Table1[[#This Row],[Country]]="United States","US",Table1[[#This Row],[Country]]="United Kingdom","UK",TRUE,"EU")</f>
        <v>US</v>
      </c>
      <c r="G319" cm="1">
        <f t="array" ref="G31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20" spans="1:7" x14ac:dyDescent="0.2">
      <c r="A320" t="s">
        <v>652</v>
      </c>
      <c r="B320" t="s">
        <v>653</v>
      </c>
      <c r="C320" t="s">
        <v>17</v>
      </c>
      <c r="D320" t="s">
        <v>18</v>
      </c>
      <c r="E320" t="s">
        <v>1576</v>
      </c>
      <c r="F320" t="str" cm="1">
        <f t="array" ref="F320">_xlfn.IFS(Table1[[#This Row],[Country]]="United States","US",Table1[[#This Row],[Country]]="United Kingdom","UK",TRUE,"EU")</f>
        <v>EU</v>
      </c>
      <c r="G320" cm="1">
        <f t="array" ref="G32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21" spans="1:7" x14ac:dyDescent="0.2">
      <c r="A321" t="s">
        <v>654</v>
      </c>
      <c r="B321" t="s">
        <v>655</v>
      </c>
      <c r="C321" t="s">
        <v>6</v>
      </c>
      <c r="D321" t="s">
        <v>118</v>
      </c>
      <c r="E321" t="s">
        <v>1579</v>
      </c>
      <c r="F321" t="str" cm="1">
        <f t="array" ref="F321">_xlfn.IFS(Table1[[#This Row],[Country]]="United States","US",Table1[[#This Row],[Country]]="United Kingdom","UK",TRUE,"EU")</f>
        <v>EU</v>
      </c>
      <c r="G321" cm="1">
        <f t="array" ref="G32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22" spans="1:7" x14ac:dyDescent="0.2">
      <c r="A322" t="s">
        <v>656</v>
      </c>
      <c r="B322" t="s">
        <v>657</v>
      </c>
      <c r="C322" t="s">
        <v>6</v>
      </c>
      <c r="D322" t="s">
        <v>18</v>
      </c>
      <c r="E322" t="s">
        <v>1574</v>
      </c>
      <c r="F322" t="str" cm="1">
        <f t="array" ref="F322">_xlfn.IFS(Table1[[#This Row],[Country]]="United States","US",Table1[[#This Row],[Country]]="United Kingdom","UK",TRUE,"EU")</f>
        <v>US</v>
      </c>
      <c r="G322" cm="1">
        <f t="array" ref="G32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23" spans="1:7" x14ac:dyDescent="0.2">
      <c r="A323" t="s">
        <v>658</v>
      </c>
      <c r="B323" t="s">
        <v>659</v>
      </c>
      <c r="C323" t="s">
        <v>17</v>
      </c>
      <c r="D323" t="s">
        <v>21</v>
      </c>
      <c r="E323" t="s">
        <v>1574</v>
      </c>
      <c r="F323" t="str" cm="1">
        <f t="array" ref="F323">_xlfn.IFS(Table1[[#This Row],[Country]]="United States","US",Table1[[#This Row],[Country]]="United Kingdom","UK",TRUE,"EU")</f>
        <v>US</v>
      </c>
      <c r="G323" cm="1">
        <f t="array" ref="G32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324" spans="1:7" x14ac:dyDescent="0.2">
      <c r="A324" t="s">
        <v>660</v>
      </c>
      <c r="B324" t="s">
        <v>661</v>
      </c>
      <c r="C324" t="s">
        <v>17</v>
      </c>
      <c r="D324" t="s">
        <v>18</v>
      </c>
      <c r="E324" t="s">
        <v>1574</v>
      </c>
      <c r="F324" t="str" cm="1">
        <f t="array" ref="F324">_xlfn.IFS(Table1[[#This Row],[Country]]="United States","US",Table1[[#This Row],[Country]]="United Kingdom","UK",TRUE,"EU")</f>
        <v>US</v>
      </c>
      <c r="G324" cm="1">
        <f t="array" ref="G32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25" spans="1:7" x14ac:dyDescent="0.2">
      <c r="A325" t="s">
        <v>662</v>
      </c>
      <c r="B325" t="s">
        <v>663</v>
      </c>
      <c r="C325" t="s">
        <v>17</v>
      </c>
      <c r="D325" t="s">
        <v>25</v>
      </c>
      <c r="E325" t="s">
        <v>1575</v>
      </c>
      <c r="F325" t="str" cm="1">
        <f t="array" ref="F325">_xlfn.IFS(Table1[[#This Row],[Country]]="United States","US",Table1[[#This Row],[Country]]="United Kingdom","UK",TRUE,"EU")</f>
        <v>UK</v>
      </c>
      <c r="G325" cm="1">
        <f t="array" ref="G32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326" spans="1:7" x14ac:dyDescent="0.2">
      <c r="A326" t="s">
        <v>664</v>
      </c>
      <c r="B326" t="s">
        <v>665</v>
      </c>
      <c r="C326" t="s">
        <v>24</v>
      </c>
      <c r="D326" t="s">
        <v>7</v>
      </c>
      <c r="E326" t="s">
        <v>1574</v>
      </c>
      <c r="F326" t="str" cm="1">
        <f t="array" ref="F326">_xlfn.IFS(Table1[[#This Row],[Country]]="United States","US",Table1[[#This Row],[Country]]="United Kingdom","UK",TRUE,"EU")</f>
        <v>US</v>
      </c>
      <c r="G326" cm="1">
        <f t="array" ref="G32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27" spans="1:7" x14ac:dyDescent="0.2">
      <c r="A327" t="s">
        <v>666</v>
      </c>
      <c r="B327" t="s">
        <v>667</v>
      </c>
      <c r="C327" t="s">
        <v>17</v>
      </c>
      <c r="D327" t="s">
        <v>25</v>
      </c>
      <c r="E327" t="s">
        <v>1574</v>
      </c>
      <c r="F327" t="str" cm="1">
        <f t="array" ref="F327">_xlfn.IFS(Table1[[#This Row],[Country]]="United States","US",Table1[[#This Row],[Country]]="United Kingdom","UK",TRUE,"EU")</f>
        <v>US</v>
      </c>
      <c r="G327" cm="1">
        <f t="array" ref="G32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328" spans="1:7" x14ac:dyDescent="0.2">
      <c r="A328" t="s">
        <v>668</v>
      </c>
      <c r="B328" t="s">
        <v>669</v>
      </c>
      <c r="C328" t="s">
        <v>17</v>
      </c>
      <c r="D328" t="s">
        <v>18</v>
      </c>
      <c r="E328" t="s">
        <v>1579</v>
      </c>
      <c r="F328" t="str" cm="1">
        <f t="array" ref="F328">_xlfn.IFS(Table1[[#This Row],[Country]]="United States","US",Table1[[#This Row],[Country]]="United Kingdom","UK",TRUE,"EU")</f>
        <v>EU</v>
      </c>
      <c r="G328" cm="1">
        <f t="array" ref="G32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29" spans="1:7" x14ac:dyDescent="0.2">
      <c r="A329" t="s">
        <v>670</v>
      </c>
      <c r="B329" t="s">
        <v>671</v>
      </c>
      <c r="C329" t="s">
        <v>17</v>
      </c>
      <c r="D329" t="s">
        <v>25</v>
      </c>
      <c r="E329" t="s">
        <v>1579</v>
      </c>
      <c r="F329" t="str" cm="1">
        <f t="array" ref="F329">_xlfn.IFS(Table1[[#This Row],[Country]]="United States","US",Table1[[#This Row],[Country]]="United Kingdom","UK",TRUE,"EU")</f>
        <v>EU</v>
      </c>
      <c r="G329" cm="1">
        <f t="array" ref="G32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330" spans="1:7" x14ac:dyDescent="0.2">
      <c r="A330" t="s">
        <v>672</v>
      </c>
      <c r="B330" t="s">
        <v>673</v>
      </c>
      <c r="C330" t="s">
        <v>17</v>
      </c>
      <c r="D330" t="s">
        <v>16</v>
      </c>
      <c r="E330" t="s">
        <v>1579</v>
      </c>
      <c r="F330" t="str" cm="1">
        <f t="array" ref="F330">_xlfn.IFS(Table1[[#This Row],[Country]]="United States","US",Table1[[#This Row],[Country]]="United Kingdom","UK",TRUE,"EU")</f>
        <v>EU</v>
      </c>
      <c r="G330" cm="1">
        <f t="array" ref="G33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31" spans="1:7" x14ac:dyDescent="0.2">
      <c r="A331" t="s">
        <v>674</v>
      </c>
      <c r="B331" t="s">
        <v>675</v>
      </c>
      <c r="C331" t="s">
        <v>17</v>
      </c>
      <c r="D331" t="s">
        <v>42</v>
      </c>
      <c r="E331" t="s">
        <v>1574</v>
      </c>
      <c r="F331" t="str" cm="1">
        <f t="array" ref="F331">_xlfn.IFS(Table1[[#This Row],[Country]]="United States","US",Table1[[#This Row],[Country]]="United Kingdom","UK",TRUE,"EU")</f>
        <v>US</v>
      </c>
      <c r="G331" cm="1">
        <f t="array" ref="G33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32" spans="1:7" x14ac:dyDescent="0.2">
      <c r="A332" t="s">
        <v>676</v>
      </c>
      <c r="B332" t="s">
        <v>677</v>
      </c>
      <c r="C332" t="s">
        <v>6</v>
      </c>
      <c r="D332" t="s">
        <v>18</v>
      </c>
      <c r="E332" t="s">
        <v>1574</v>
      </c>
      <c r="F332" t="str" cm="1">
        <f t="array" ref="F332">_xlfn.IFS(Table1[[#This Row],[Country]]="United States","US",Table1[[#This Row],[Country]]="United Kingdom","UK",TRUE,"EU")</f>
        <v>US</v>
      </c>
      <c r="G332" cm="1">
        <f t="array" ref="G33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33" spans="1:7" x14ac:dyDescent="0.2">
      <c r="A333" t="s">
        <v>678</v>
      </c>
      <c r="B333" t="s">
        <v>679</v>
      </c>
      <c r="C333" t="s">
        <v>6</v>
      </c>
      <c r="D333" t="s">
        <v>33</v>
      </c>
      <c r="E333" t="s">
        <v>1574</v>
      </c>
      <c r="F333" t="str" cm="1">
        <f t="array" ref="F333">_xlfn.IFS(Table1[[#This Row],[Country]]="United States","US",Table1[[#This Row],[Country]]="United Kingdom","UK",TRUE,"EU")</f>
        <v>US</v>
      </c>
      <c r="G333" cm="1">
        <f t="array" ref="G33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334" spans="1:7" x14ac:dyDescent="0.2">
      <c r="A334" t="s">
        <v>680</v>
      </c>
      <c r="B334" t="s">
        <v>681</v>
      </c>
      <c r="C334" t="s">
        <v>6</v>
      </c>
      <c r="D334" t="s">
        <v>18</v>
      </c>
      <c r="E334" t="s">
        <v>1574</v>
      </c>
      <c r="F334" t="str" cm="1">
        <f t="array" ref="F334">_xlfn.IFS(Table1[[#This Row],[Country]]="United States","US",Table1[[#This Row],[Country]]="United Kingdom","UK",TRUE,"EU")</f>
        <v>US</v>
      </c>
      <c r="G334" cm="1">
        <f t="array" ref="G33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35" spans="1:7" x14ac:dyDescent="0.2">
      <c r="A335" t="s">
        <v>682</v>
      </c>
      <c r="B335" t="s">
        <v>683</v>
      </c>
      <c r="C335" t="s">
        <v>6</v>
      </c>
      <c r="D335" t="s">
        <v>18</v>
      </c>
      <c r="E335" t="s">
        <v>1574</v>
      </c>
      <c r="F335" t="str" cm="1">
        <f t="array" ref="F335">_xlfn.IFS(Table1[[#This Row],[Country]]="United States","US",Table1[[#This Row],[Country]]="United Kingdom","UK",TRUE,"EU")</f>
        <v>US</v>
      </c>
      <c r="G335" cm="1">
        <f t="array" ref="G33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36" spans="1:7" x14ac:dyDescent="0.2">
      <c r="A336" t="s">
        <v>684</v>
      </c>
      <c r="B336" t="s">
        <v>685</v>
      </c>
      <c r="C336" t="s">
        <v>24</v>
      </c>
      <c r="D336" t="s">
        <v>18</v>
      </c>
      <c r="E336" t="s">
        <v>1574</v>
      </c>
      <c r="F336" t="str" cm="1">
        <f t="array" ref="F336">_xlfn.IFS(Table1[[#This Row],[Country]]="United States","US",Table1[[#This Row],[Country]]="United Kingdom","UK",TRUE,"EU")</f>
        <v>US</v>
      </c>
      <c r="G336" cm="1">
        <f t="array" ref="G33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37" spans="1:7" x14ac:dyDescent="0.2">
      <c r="A337" t="s">
        <v>686</v>
      </c>
      <c r="B337" t="s">
        <v>687</v>
      </c>
      <c r="C337" t="s">
        <v>6</v>
      </c>
      <c r="D337" t="s">
        <v>33</v>
      </c>
      <c r="E337" t="s">
        <v>1579</v>
      </c>
      <c r="F337" t="str" cm="1">
        <f t="array" ref="F337">_xlfn.IFS(Table1[[#This Row],[Country]]="United States","US",Table1[[#This Row],[Country]]="United Kingdom","UK",TRUE,"EU")</f>
        <v>EU</v>
      </c>
      <c r="G337" cm="1">
        <f t="array" ref="G33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338" spans="1:7" x14ac:dyDescent="0.2">
      <c r="A338" t="s">
        <v>688</v>
      </c>
      <c r="B338" t="s">
        <v>689</v>
      </c>
      <c r="C338" t="s">
        <v>6</v>
      </c>
      <c r="D338" t="s">
        <v>18</v>
      </c>
      <c r="E338" t="s">
        <v>1574</v>
      </c>
      <c r="F338" t="str" cm="1">
        <f t="array" ref="F338">_xlfn.IFS(Table1[[#This Row],[Country]]="United States","US",Table1[[#This Row],[Country]]="United Kingdom","UK",TRUE,"EU")</f>
        <v>US</v>
      </c>
      <c r="G338" cm="1">
        <f t="array" ref="G33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39" spans="1:7" x14ac:dyDescent="0.2">
      <c r="A339" t="s">
        <v>690</v>
      </c>
      <c r="B339" t="s">
        <v>691</v>
      </c>
      <c r="C339" t="s">
        <v>6</v>
      </c>
      <c r="D339" t="s">
        <v>18</v>
      </c>
      <c r="E339" t="s">
        <v>1574</v>
      </c>
      <c r="F339" t="str" cm="1">
        <f t="array" ref="F339">_xlfn.IFS(Table1[[#This Row],[Country]]="United States","US",Table1[[#This Row],[Country]]="United Kingdom","UK",TRUE,"EU")</f>
        <v>US</v>
      </c>
      <c r="G339" cm="1">
        <f t="array" ref="G33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40" spans="1:7" x14ac:dyDescent="0.2">
      <c r="A340" t="s">
        <v>692</v>
      </c>
      <c r="B340" t="s">
        <v>693</v>
      </c>
      <c r="C340" t="s">
        <v>6</v>
      </c>
      <c r="D340" t="s">
        <v>11</v>
      </c>
      <c r="E340" t="s">
        <v>1579</v>
      </c>
      <c r="F340" t="str" cm="1">
        <f t="array" ref="F340">_xlfn.IFS(Table1[[#This Row],[Country]]="United States","US",Table1[[#This Row],[Country]]="United Kingdom","UK",TRUE,"EU")</f>
        <v>EU</v>
      </c>
      <c r="G340" cm="1">
        <f t="array" ref="G34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341" spans="1:7" x14ac:dyDescent="0.2">
      <c r="A341" t="s">
        <v>694</v>
      </c>
      <c r="B341" t="s">
        <v>695</v>
      </c>
      <c r="C341" t="s">
        <v>17</v>
      </c>
      <c r="D341" t="s">
        <v>7</v>
      </c>
      <c r="E341" t="s">
        <v>1574</v>
      </c>
      <c r="F341" t="str" cm="1">
        <f t="array" ref="F341">_xlfn.IFS(Table1[[#This Row],[Country]]="United States","US",Table1[[#This Row],[Country]]="United Kingdom","UK",TRUE,"EU")</f>
        <v>US</v>
      </c>
      <c r="G341" cm="1">
        <f t="array" ref="G34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42" spans="1:7" x14ac:dyDescent="0.2">
      <c r="A342" t="s">
        <v>696</v>
      </c>
      <c r="B342" t="s">
        <v>697</v>
      </c>
      <c r="C342" t="s">
        <v>53</v>
      </c>
      <c r="D342" t="s">
        <v>11</v>
      </c>
      <c r="E342" t="s">
        <v>1576</v>
      </c>
      <c r="F342" t="str" cm="1">
        <f t="array" ref="F342">_xlfn.IFS(Table1[[#This Row],[Country]]="United States","US",Table1[[#This Row],[Country]]="United Kingdom","UK",TRUE,"EU")</f>
        <v>EU</v>
      </c>
      <c r="G342" cm="1">
        <f t="array" ref="G34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343" spans="1:7" x14ac:dyDescent="0.2">
      <c r="A343" t="s">
        <v>698</v>
      </c>
      <c r="B343" t="s">
        <v>699</v>
      </c>
      <c r="C343" t="s">
        <v>6</v>
      </c>
      <c r="D343" t="s">
        <v>42</v>
      </c>
      <c r="E343" t="s">
        <v>1579</v>
      </c>
      <c r="F343" t="str" cm="1">
        <f t="array" ref="F343">_xlfn.IFS(Table1[[#This Row],[Country]]="United States","US",Table1[[#This Row],[Country]]="United Kingdom","UK",TRUE,"EU")</f>
        <v>EU</v>
      </c>
      <c r="G343" cm="1">
        <f t="array" ref="G34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44" spans="1:7" x14ac:dyDescent="0.2">
      <c r="A344" t="s">
        <v>700</v>
      </c>
      <c r="B344" t="s">
        <v>701</v>
      </c>
      <c r="C344" t="s">
        <v>17</v>
      </c>
      <c r="D344" t="s">
        <v>7</v>
      </c>
      <c r="E344" t="s">
        <v>1574</v>
      </c>
      <c r="F344" t="str" cm="1">
        <f t="array" ref="F344">_xlfn.IFS(Table1[[#This Row],[Country]]="United States","US",Table1[[#This Row],[Country]]="United Kingdom","UK",TRUE,"EU")</f>
        <v>US</v>
      </c>
      <c r="G344" cm="1">
        <f t="array" ref="G34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45" spans="1:7" x14ac:dyDescent="0.2">
      <c r="A345" t="s">
        <v>702</v>
      </c>
      <c r="B345" t="s">
        <v>703</v>
      </c>
      <c r="C345" t="s">
        <v>24</v>
      </c>
      <c r="D345" t="s">
        <v>7</v>
      </c>
      <c r="E345" t="s">
        <v>1574</v>
      </c>
      <c r="F345" t="str" cm="1">
        <f t="array" ref="F345">_xlfn.IFS(Table1[[#This Row],[Country]]="United States","US",Table1[[#This Row],[Country]]="United Kingdom","UK",TRUE,"EU")</f>
        <v>US</v>
      </c>
      <c r="G345" cm="1">
        <f t="array" ref="G34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46" spans="1:7" x14ac:dyDescent="0.2">
      <c r="A346" t="s">
        <v>704</v>
      </c>
      <c r="B346" t="s">
        <v>705</v>
      </c>
      <c r="C346" t="s">
        <v>6</v>
      </c>
      <c r="D346" t="s">
        <v>18</v>
      </c>
      <c r="E346" t="s">
        <v>1574</v>
      </c>
      <c r="F346" t="str" cm="1">
        <f t="array" ref="F346">_xlfn.IFS(Table1[[#This Row],[Country]]="United States","US",Table1[[#This Row],[Country]]="United Kingdom","UK",TRUE,"EU")</f>
        <v>US</v>
      </c>
      <c r="G346" cm="1">
        <f t="array" ref="G34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47" spans="1:7" x14ac:dyDescent="0.2">
      <c r="A347" t="s">
        <v>706</v>
      </c>
      <c r="B347" t="s">
        <v>707</v>
      </c>
      <c r="C347" t="s">
        <v>6</v>
      </c>
      <c r="D347" t="s">
        <v>25</v>
      </c>
      <c r="E347" t="s">
        <v>1574</v>
      </c>
      <c r="F347" t="str" cm="1">
        <f t="array" ref="F347">_xlfn.IFS(Table1[[#This Row],[Country]]="United States","US",Table1[[#This Row],[Country]]="United Kingdom","UK",TRUE,"EU")</f>
        <v>US</v>
      </c>
      <c r="G347" cm="1">
        <f t="array" ref="G34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348" spans="1:7" x14ac:dyDescent="0.2">
      <c r="A348" t="s">
        <v>708</v>
      </c>
      <c r="B348" t="s">
        <v>709</v>
      </c>
      <c r="C348" t="s">
        <v>6</v>
      </c>
      <c r="D348" t="s">
        <v>118</v>
      </c>
      <c r="E348" t="s">
        <v>1574</v>
      </c>
      <c r="F348" t="str" cm="1">
        <f t="array" ref="F348">_xlfn.IFS(Table1[[#This Row],[Country]]="United States","US",Table1[[#This Row],[Country]]="United Kingdom","UK",TRUE,"EU")</f>
        <v>US</v>
      </c>
      <c r="G348" cm="1">
        <f t="array" ref="G34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49" spans="1:7" x14ac:dyDescent="0.2">
      <c r="A349" t="s">
        <v>710</v>
      </c>
      <c r="B349" t="s">
        <v>711</v>
      </c>
      <c r="C349" t="s">
        <v>6</v>
      </c>
      <c r="D349" t="s">
        <v>21</v>
      </c>
      <c r="E349" t="s">
        <v>1574</v>
      </c>
      <c r="F349" t="str" cm="1">
        <f t="array" ref="F349">_xlfn.IFS(Table1[[#This Row],[Country]]="United States","US",Table1[[#This Row],[Country]]="United Kingdom","UK",TRUE,"EU")</f>
        <v>US</v>
      </c>
      <c r="G349" cm="1">
        <f t="array" ref="G34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350" spans="1:7" x14ac:dyDescent="0.2">
      <c r="A350" t="s">
        <v>712</v>
      </c>
      <c r="B350" t="s">
        <v>713</v>
      </c>
      <c r="C350" t="s">
        <v>17</v>
      </c>
      <c r="D350" t="s">
        <v>7</v>
      </c>
      <c r="E350" t="s">
        <v>1574</v>
      </c>
      <c r="F350" t="str" cm="1">
        <f t="array" ref="F350">_xlfn.IFS(Table1[[#This Row],[Country]]="United States","US",Table1[[#This Row],[Country]]="United Kingdom","UK",TRUE,"EU")</f>
        <v>US</v>
      </c>
      <c r="G350" cm="1">
        <f t="array" ref="G35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51" spans="1:7" x14ac:dyDescent="0.2">
      <c r="A351" t="s">
        <v>714</v>
      </c>
      <c r="B351" t="s">
        <v>715</v>
      </c>
      <c r="C351" t="s">
        <v>6</v>
      </c>
      <c r="D351" t="s">
        <v>18</v>
      </c>
      <c r="E351" t="s">
        <v>1574</v>
      </c>
      <c r="F351" t="str" cm="1">
        <f t="array" ref="F351">_xlfn.IFS(Table1[[#This Row],[Country]]="United States","US",Table1[[#This Row],[Country]]="United Kingdom","UK",TRUE,"EU")</f>
        <v>US</v>
      </c>
      <c r="G351" cm="1">
        <f t="array" ref="G35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52" spans="1:7" x14ac:dyDescent="0.2">
      <c r="A352" t="s">
        <v>716</v>
      </c>
      <c r="B352" t="s">
        <v>717</v>
      </c>
      <c r="C352" t="s">
        <v>6</v>
      </c>
      <c r="D352" t="s">
        <v>18</v>
      </c>
      <c r="E352" t="s">
        <v>1574</v>
      </c>
      <c r="F352" t="str" cm="1">
        <f t="array" ref="F352">_xlfn.IFS(Table1[[#This Row],[Country]]="United States","US",Table1[[#This Row],[Country]]="United Kingdom","UK",TRUE,"EU")</f>
        <v>US</v>
      </c>
      <c r="G352" cm="1">
        <f t="array" ref="G35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53" spans="1:7" x14ac:dyDescent="0.2">
      <c r="A353" t="s">
        <v>718</v>
      </c>
      <c r="B353" t="s">
        <v>719</v>
      </c>
      <c r="C353" t="s">
        <v>17</v>
      </c>
      <c r="D353" t="s">
        <v>7</v>
      </c>
      <c r="E353" t="s">
        <v>1574</v>
      </c>
      <c r="F353" t="str" cm="1">
        <f t="array" ref="F353">_xlfn.IFS(Table1[[#This Row],[Country]]="United States","US",Table1[[#This Row],[Country]]="United Kingdom","UK",TRUE,"EU")</f>
        <v>US</v>
      </c>
      <c r="G353" cm="1">
        <f t="array" ref="G35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54" spans="1:7" x14ac:dyDescent="0.2">
      <c r="A354" t="s">
        <v>720</v>
      </c>
      <c r="B354" t="s">
        <v>721</v>
      </c>
      <c r="C354" t="s">
        <v>24</v>
      </c>
      <c r="D354" t="s">
        <v>33</v>
      </c>
      <c r="E354" t="s">
        <v>1574</v>
      </c>
      <c r="F354" t="str" cm="1">
        <f t="array" ref="F354">_xlfn.IFS(Table1[[#This Row],[Country]]="United States","US",Table1[[#This Row],[Country]]="United Kingdom","UK",TRUE,"EU")</f>
        <v>US</v>
      </c>
      <c r="G354" cm="1">
        <f t="array" ref="G35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355" spans="1:7" x14ac:dyDescent="0.2">
      <c r="A355" t="s">
        <v>722</v>
      </c>
      <c r="B355" t="s">
        <v>723</v>
      </c>
      <c r="C355" t="s">
        <v>17</v>
      </c>
      <c r="D355" t="s">
        <v>118</v>
      </c>
      <c r="E355" t="s">
        <v>1575</v>
      </c>
      <c r="F355" t="str" cm="1">
        <f t="array" ref="F355">_xlfn.IFS(Table1[[#This Row],[Country]]="United States","US",Table1[[#This Row],[Country]]="United Kingdom","UK",TRUE,"EU")</f>
        <v>UK</v>
      </c>
      <c r="G355" cm="1">
        <f t="array" ref="G35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56" spans="1:7" x14ac:dyDescent="0.2">
      <c r="A356" t="s">
        <v>724</v>
      </c>
      <c r="B356" t="s">
        <v>725</v>
      </c>
      <c r="C356" t="s">
        <v>10</v>
      </c>
      <c r="D356" t="s">
        <v>11</v>
      </c>
      <c r="E356" t="s">
        <v>1574</v>
      </c>
      <c r="F356" t="str" cm="1">
        <f t="array" ref="F356">_xlfn.IFS(Table1[[#This Row],[Country]]="United States","US",Table1[[#This Row],[Country]]="United Kingdom","UK",TRUE,"EU")</f>
        <v>US</v>
      </c>
      <c r="G356" cm="1">
        <f t="array" ref="G35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357" spans="1:7" x14ac:dyDescent="0.2">
      <c r="A357" t="s">
        <v>726</v>
      </c>
      <c r="B357" t="s">
        <v>727</v>
      </c>
      <c r="C357" t="s">
        <v>24</v>
      </c>
      <c r="D357" t="s">
        <v>11</v>
      </c>
      <c r="E357" t="s">
        <v>1574</v>
      </c>
      <c r="F357" t="str" cm="1">
        <f t="array" ref="F357">_xlfn.IFS(Table1[[#This Row],[Country]]="United States","US",Table1[[#This Row],[Country]]="United Kingdom","UK",TRUE,"EU")</f>
        <v>US</v>
      </c>
      <c r="G357" cm="1">
        <f t="array" ref="G35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358" spans="1:7" x14ac:dyDescent="0.2">
      <c r="A358" t="s">
        <v>728</v>
      </c>
      <c r="B358" t="s">
        <v>729</v>
      </c>
      <c r="C358" t="s">
        <v>10</v>
      </c>
      <c r="D358" t="s">
        <v>33</v>
      </c>
      <c r="E358" t="s">
        <v>1574</v>
      </c>
      <c r="F358" t="str" cm="1">
        <f t="array" ref="F358">_xlfn.IFS(Table1[[#This Row],[Country]]="United States","US",Table1[[#This Row],[Country]]="United Kingdom","UK",TRUE,"EU")</f>
        <v>US</v>
      </c>
      <c r="G358" cm="1">
        <f t="array" ref="G35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359" spans="1:7" x14ac:dyDescent="0.2">
      <c r="A359" t="s">
        <v>730</v>
      </c>
      <c r="B359" t="s">
        <v>731</v>
      </c>
      <c r="C359" t="s">
        <v>17</v>
      </c>
      <c r="D359" t="s">
        <v>118</v>
      </c>
      <c r="E359" t="s">
        <v>1574</v>
      </c>
      <c r="F359" t="str" cm="1">
        <f t="array" ref="F359">_xlfn.IFS(Table1[[#This Row],[Country]]="United States","US",Table1[[#This Row],[Country]]="United Kingdom","UK",TRUE,"EU")</f>
        <v>US</v>
      </c>
      <c r="G359" cm="1">
        <f t="array" ref="G35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60" spans="1:7" x14ac:dyDescent="0.2">
      <c r="A360" t="s">
        <v>732</v>
      </c>
      <c r="B360" t="s">
        <v>733</v>
      </c>
      <c r="C360" t="s">
        <v>6</v>
      </c>
      <c r="D360" t="s">
        <v>25</v>
      </c>
      <c r="E360" t="s">
        <v>1574</v>
      </c>
      <c r="F360" t="str" cm="1">
        <f t="array" ref="F360">_xlfn.IFS(Table1[[#This Row],[Country]]="United States","US",Table1[[#This Row],[Country]]="United Kingdom","UK",TRUE,"EU")</f>
        <v>US</v>
      </c>
      <c r="G360" cm="1">
        <f t="array" ref="G36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361" spans="1:7" x14ac:dyDescent="0.2">
      <c r="A361" t="s">
        <v>734</v>
      </c>
      <c r="B361" t="s">
        <v>735</v>
      </c>
      <c r="C361" t="s">
        <v>17</v>
      </c>
      <c r="D361" t="s">
        <v>7</v>
      </c>
      <c r="E361" t="s">
        <v>1579</v>
      </c>
      <c r="F361" t="str" cm="1">
        <f t="array" ref="F361">_xlfn.IFS(Table1[[#This Row],[Country]]="United States","US",Table1[[#This Row],[Country]]="United Kingdom","UK",TRUE,"EU")</f>
        <v>EU</v>
      </c>
      <c r="G361" cm="1">
        <f t="array" ref="G36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62" spans="1:7" x14ac:dyDescent="0.2">
      <c r="A362" t="s">
        <v>736</v>
      </c>
      <c r="B362" t="s">
        <v>737</v>
      </c>
      <c r="C362" t="s">
        <v>6</v>
      </c>
      <c r="D362" t="s">
        <v>25</v>
      </c>
      <c r="E362" t="s">
        <v>1576</v>
      </c>
      <c r="F362" t="str" cm="1">
        <f t="array" ref="F362">_xlfn.IFS(Table1[[#This Row],[Country]]="United States","US",Table1[[#This Row],[Country]]="United Kingdom","UK",TRUE,"EU")</f>
        <v>EU</v>
      </c>
      <c r="G362" cm="1">
        <f t="array" ref="G36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363" spans="1:7" x14ac:dyDescent="0.2">
      <c r="A363" t="s">
        <v>738</v>
      </c>
      <c r="B363" t="s">
        <v>739</v>
      </c>
      <c r="C363" t="s">
        <v>24</v>
      </c>
      <c r="D363" t="s">
        <v>42</v>
      </c>
      <c r="E363" t="s">
        <v>1574</v>
      </c>
      <c r="F363" t="str" cm="1">
        <f t="array" ref="F363">_xlfn.IFS(Table1[[#This Row],[Country]]="United States","US",Table1[[#This Row],[Country]]="United Kingdom","UK",TRUE,"EU")</f>
        <v>US</v>
      </c>
      <c r="G363" cm="1">
        <f t="array" ref="G36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64" spans="1:7" x14ac:dyDescent="0.2">
      <c r="A364" t="s">
        <v>740</v>
      </c>
      <c r="B364" t="s">
        <v>741</v>
      </c>
      <c r="C364" t="s">
        <v>17</v>
      </c>
      <c r="D364" t="s">
        <v>25</v>
      </c>
      <c r="E364" t="s">
        <v>1574</v>
      </c>
      <c r="F364" t="str" cm="1">
        <f t="array" ref="F364">_xlfn.IFS(Table1[[#This Row],[Country]]="United States","US",Table1[[#This Row],[Country]]="United Kingdom","UK",TRUE,"EU")</f>
        <v>US</v>
      </c>
      <c r="G364" cm="1">
        <f t="array" ref="G36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365" spans="1:7" x14ac:dyDescent="0.2">
      <c r="A365" t="s">
        <v>742</v>
      </c>
      <c r="B365" t="s">
        <v>743</v>
      </c>
      <c r="C365" t="s">
        <v>10</v>
      </c>
      <c r="D365" t="s">
        <v>33</v>
      </c>
      <c r="E365" t="s">
        <v>1574</v>
      </c>
      <c r="F365" t="str" cm="1">
        <f t="array" ref="F365">_xlfn.IFS(Table1[[#This Row],[Country]]="United States","US",Table1[[#This Row],[Country]]="United Kingdom","UK",TRUE,"EU")</f>
        <v>US</v>
      </c>
      <c r="G365" cm="1">
        <f t="array" ref="G36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366" spans="1:7" x14ac:dyDescent="0.2">
      <c r="A366" t="s">
        <v>744</v>
      </c>
      <c r="B366" t="s">
        <v>745</v>
      </c>
      <c r="C366" t="s">
        <v>6</v>
      </c>
      <c r="D366" t="s">
        <v>18</v>
      </c>
      <c r="E366" t="s">
        <v>1574</v>
      </c>
      <c r="F366" t="str" cm="1">
        <f t="array" ref="F366">_xlfn.IFS(Table1[[#This Row],[Country]]="United States","US",Table1[[#This Row],[Country]]="United Kingdom","UK",TRUE,"EU")</f>
        <v>US</v>
      </c>
      <c r="G366" cm="1">
        <f t="array" ref="G36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67" spans="1:7" x14ac:dyDescent="0.2">
      <c r="A367" t="s">
        <v>746</v>
      </c>
      <c r="B367" t="s">
        <v>747</v>
      </c>
      <c r="C367" t="s">
        <v>6</v>
      </c>
      <c r="D367" t="s">
        <v>25</v>
      </c>
      <c r="E367" t="s">
        <v>1576</v>
      </c>
      <c r="F367" t="str" cm="1">
        <f t="array" ref="F367">_xlfn.IFS(Table1[[#This Row],[Country]]="United States","US",Table1[[#This Row],[Country]]="United Kingdom","UK",TRUE,"EU")</f>
        <v>EU</v>
      </c>
      <c r="G367" cm="1">
        <f t="array" ref="G36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368" spans="1:7" x14ac:dyDescent="0.2">
      <c r="A368" t="s">
        <v>748</v>
      </c>
      <c r="B368" t="s">
        <v>749</v>
      </c>
      <c r="C368" t="s">
        <v>17</v>
      </c>
      <c r="D368" t="s">
        <v>18</v>
      </c>
      <c r="E368" t="s">
        <v>1574</v>
      </c>
      <c r="F368" t="str" cm="1">
        <f t="array" ref="F368">_xlfn.IFS(Table1[[#This Row],[Country]]="United States","US",Table1[[#This Row],[Country]]="United Kingdom","UK",TRUE,"EU")</f>
        <v>US</v>
      </c>
      <c r="G368" cm="1">
        <f t="array" ref="G36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69" spans="1:7" x14ac:dyDescent="0.2">
      <c r="A369" t="s">
        <v>750</v>
      </c>
      <c r="B369" t="s">
        <v>751</v>
      </c>
      <c r="C369" t="s">
        <v>17</v>
      </c>
      <c r="D369" t="s">
        <v>7</v>
      </c>
      <c r="E369" t="s">
        <v>1579</v>
      </c>
      <c r="F369" t="str" cm="1">
        <f t="array" ref="F369">_xlfn.IFS(Table1[[#This Row],[Country]]="United States","US",Table1[[#This Row],[Country]]="United Kingdom","UK",TRUE,"EU")</f>
        <v>EU</v>
      </c>
      <c r="G369" cm="1">
        <f t="array" ref="G36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70" spans="1:7" x14ac:dyDescent="0.2">
      <c r="A370" t="s">
        <v>752</v>
      </c>
      <c r="B370" t="s">
        <v>753</v>
      </c>
      <c r="C370" t="s">
        <v>6</v>
      </c>
      <c r="D370" t="s">
        <v>25</v>
      </c>
      <c r="E370" t="s">
        <v>1574</v>
      </c>
      <c r="F370" t="str" cm="1">
        <f t="array" ref="F370">_xlfn.IFS(Table1[[#This Row],[Country]]="United States","US",Table1[[#This Row],[Country]]="United Kingdom","UK",TRUE,"EU")</f>
        <v>US</v>
      </c>
      <c r="G370" cm="1">
        <f t="array" ref="G37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371" spans="1:7" x14ac:dyDescent="0.2">
      <c r="A371" t="s">
        <v>754</v>
      </c>
      <c r="B371" t="s">
        <v>755</v>
      </c>
      <c r="C371" t="s">
        <v>6</v>
      </c>
      <c r="D371" t="s">
        <v>18</v>
      </c>
      <c r="E371" t="s">
        <v>1574</v>
      </c>
      <c r="F371" t="str" cm="1">
        <f t="array" ref="F371">_xlfn.IFS(Table1[[#This Row],[Country]]="United States","US",Table1[[#This Row],[Country]]="United Kingdom","UK",TRUE,"EU")</f>
        <v>US</v>
      </c>
      <c r="G371" cm="1">
        <f t="array" ref="G37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72" spans="1:7" x14ac:dyDescent="0.2">
      <c r="A372" t="s">
        <v>756</v>
      </c>
      <c r="B372" t="s">
        <v>757</v>
      </c>
      <c r="C372" t="s">
        <v>53</v>
      </c>
      <c r="D372" t="s">
        <v>25</v>
      </c>
      <c r="E372" t="s">
        <v>1574</v>
      </c>
      <c r="F372" t="str" cm="1">
        <f t="array" ref="F372">_xlfn.IFS(Table1[[#This Row],[Country]]="United States","US",Table1[[#This Row],[Country]]="United Kingdom","UK",TRUE,"EU")</f>
        <v>US</v>
      </c>
      <c r="G372" cm="1">
        <f t="array" ref="G37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373" spans="1:7" x14ac:dyDescent="0.2">
      <c r="A373" t="s">
        <v>758</v>
      </c>
      <c r="B373" t="s">
        <v>759</v>
      </c>
      <c r="C373" t="s">
        <v>17</v>
      </c>
      <c r="D373" t="s">
        <v>33</v>
      </c>
      <c r="E373" t="s">
        <v>1574</v>
      </c>
      <c r="F373" t="str" cm="1">
        <f t="array" ref="F373">_xlfn.IFS(Table1[[#This Row],[Country]]="United States","US",Table1[[#This Row],[Country]]="United Kingdom","UK",TRUE,"EU")</f>
        <v>US</v>
      </c>
      <c r="G373" cm="1">
        <f t="array" ref="G37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374" spans="1:7" x14ac:dyDescent="0.2">
      <c r="A374" t="s">
        <v>760</v>
      </c>
      <c r="B374" t="s">
        <v>761</v>
      </c>
      <c r="C374" t="s">
        <v>6</v>
      </c>
      <c r="D374" t="s">
        <v>25</v>
      </c>
      <c r="E374" t="s">
        <v>1574</v>
      </c>
      <c r="F374" t="str" cm="1">
        <f t="array" ref="F374">_xlfn.IFS(Table1[[#This Row],[Country]]="United States","US",Table1[[#This Row],[Country]]="United Kingdom","UK",TRUE,"EU")</f>
        <v>US</v>
      </c>
      <c r="G374" cm="1">
        <f t="array" ref="G37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375" spans="1:7" x14ac:dyDescent="0.2">
      <c r="A375" t="s">
        <v>762</v>
      </c>
      <c r="B375" t="s">
        <v>763</v>
      </c>
      <c r="C375" t="s">
        <v>17</v>
      </c>
      <c r="D375" t="s">
        <v>25</v>
      </c>
      <c r="E375" t="s">
        <v>1576</v>
      </c>
      <c r="F375" t="str" cm="1">
        <f t="array" ref="F375">_xlfn.IFS(Table1[[#This Row],[Country]]="United States","US",Table1[[#This Row],[Country]]="United Kingdom","UK",TRUE,"EU")</f>
        <v>EU</v>
      </c>
      <c r="G375" cm="1">
        <f t="array" ref="G37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376" spans="1:7" x14ac:dyDescent="0.2">
      <c r="A376" t="s">
        <v>764</v>
      </c>
      <c r="B376" t="s">
        <v>765</v>
      </c>
      <c r="C376" t="s">
        <v>6</v>
      </c>
      <c r="D376" t="s">
        <v>7</v>
      </c>
      <c r="E376" t="s">
        <v>1574</v>
      </c>
      <c r="F376" t="str" cm="1">
        <f t="array" ref="F376">_xlfn.IFS(Table1[[#This Row],[Country]]="United States","US",Table1[[#This Row],[Country]]="United Kingdom","UK",TRUE,"EU")</f>
        <v>US</v>
      </c>
      <c r="G376" cm="1">
        <f t="array" ref="G37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77" spans="1:7" x14ac:dyDescent="0.2">
      <c r="A377" t="s">
        <v>766</v>
      </c>
      <c r="B377" t="s">
        <v>767</v>
      </c>
      <c r="C377" t="s">
        <v>10</v>
      </c>
      <c r="D377" t="s">
        <v>33</v>
      </c>
      <c r="E377" t="s">
        <v>1575</v>
      </c>
      <c r="F377" t="str" cm="1">
        <f t="array" ref="F377">_xlfn.IFS(Table1[[#This Row],[Country]]="United States","US",Table1[[#This Row],[Country]]="United Kingdom","UK",TRUE,"EU")</f>
        <v>UK</v>
      </c>
      <c r="G377" cm="1">
        <f t="array" ref="G37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378" spans="1:7" x14ac:dyDescent="0.2">
      <c r="A378" t="s">
        <v>768</v>
      </c>
      <c r="B378" t="s">
        <v>769</v>
      </c>
      <c r="C378" t="s">
        <v>17</v>
      </c>
      <c r="D378" t="s">
        <v>18</v>
      </c>
      <c r="E378" t="s">
        <v>1574</v>
      </c>
      <c r="F378" t="str" cm="1">
        <f t="array" ref="F378">_xlfn.IFS(Table1[[#This Row],[Country]]="United States","US",Table1[[#This Row],[Country]]="United Kingdom","UK",TRUE,"EU")</f>
        <v>US</v>
      </c>
      <c r="G378" cm="1">
        <f t="array" ref="G37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79" spans="1:7" x14ac:dyDescent="0.2">
      <c r="A379" t="s">
        <v>770</v>
      </c>
      <c r="B379" t="s">
        <v>771</v>
      </c>
      <c r="C379" t="s">
        <v>6</v>
      </c>
      <c r="D379" t="s">
        <v>18</v>
      </c>
      <c r="E379" t="s">
        <v>1574</v>
      </c>
      <c r="F379" t="str" cm="1">
        <f t="array" ref="F379">_xlfn.IFS(Table1[[#This Row],[Country]]="United States","US",Table1[[#This Row],[Country]]="United Kingdom","UK",TRUE,"EU")</f>
        <v>US</v>
      </c>
      <c r="G379" cm="1">
        <f t="array" ref="G37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80" spans="1:7" x14ac:dyDescent="0.2">
      <c r="A380" t="s">
        <v>772</v>
      </c>
      <c r="B380" t="s">
        <v>773</v>
      </c>
      <c r="C380" t="s">
        <v>6</v>
      </c>
      <c r="D380" t="s">
        <v>7</v>
      </c>
      <c r="E380" t="s">
        <v>1575</v>
      </c>
      <c r="F380" t="str" cm="1">
        <f t="array" ref="F380">_xlfn.IFS(Table1[[#This Row],[Country]]="United States","US",Table1[[#This Row],[Country]]="United Kingdom","UK",TRUE,"EU")</f>
        <v>UK</v>
      </c>
      <c r="G380" cm="1">
        <f t="array" ref="G38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81" spans="1:7" x14ac:dyDescent="0.2">
      <c r="A381" t="s">
        <v>774</v>
      </c>
      <c r="B381" t="s">
        <v>775</v>
      </c>
      <c r="C381" t="s">
        <v>6</v>
      </c>
      <c r="D381" t="s">
        <v>7</v>
      </c>
      <c r="E381" t="s">
        <v>1574</v>
      </c>
      <c r="F381" t="str" cm="1">
        <f t="array" ref="F381">_xlfn.IFS(Table1[[#This Row],[Country]]="United States","US",Table1[[#This Row],[Country]]="United Kingdom","UK",TRUE,"EU")</f>
        <v>US</v>
      </c>
      <c r="G381" cm="1">
        <f t="array" ref="G38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82" spans="1:7" x14ac:dyDescent="0.2">
      <c r="A382" t="s">
        <v>776</v>
      </c>
      <c r="B382" t="s">
        <v>777</v>
      </c>
      <c r="C382" t="s">
        <v>17</v>
      </c>
      <c r="D382" t="s">
        <v>21</v>
      </c>
      <c r="E382" t="s">
        <v>1574</v>
      </c>
      <c r="F382" t="str" cm="1">
        <f t="array" ref="F382">_xlfn.IFS(Table1[[#This Row],[Country]]="United States","US",Table1[[#This Row],[Country]]="United Kingdom","UK",TRUE,"EU")</f>
        <v>US</v>
      </c>
      <c r="G382" cm="1">
        <f t="array" ref="G38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383" spans="1:7" x14ac:dyDescent="0.2">
      <c r="A383" t="s">
        <v>778</v>
      </c>
      <c r="B383" t="s">
        <v>779</v>
      </c>
      <c r="C383" t="s">
        <v>6</v>
      </c>
      <c r="D383" t="s">
        <v>7</v>
      </c>
      <c r="E383" t="s">
        <v>1575</v>
      </c>
      <c r="F383" t="str" cm="1">
        <f t="array" ref="F383">_xlfn.IFS(Table1[[#This Row],[Country]]="United States","US",Table1[[#This Row],[Country]]="United Kingdom","UK",TRUE,"EU")</f>
        <v>UK</v>
      </c>
      <c r="G383" cm="1">
        <f t="array" ref="G38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84" spans="1:7" x14ac:dyDescent="0.2">
      <c r="A384" t="s">
        <v>780</v>
      </c>
      <c r="B384" t="s">
        <v>781</v>
      </c>
      <c r="C384" t="s">
        <v>6</v>
      </c>
      <c r="D384" t="s">
        <v>7</v>
      </c>
      <c r="E384" t="s">
        <v>1575</v>
      </c>
      <c r="F384" t="str" cm="1">
        <f t="array" ref="F384">_xlfn.IFS(Table1[[#This Row],[Country]]="United States","US",Table1[[#This Row],[Country]]="United Kingdom","UK",TRUE,"EU")</f>
        <v>UK</v>
      </c>
      <c r="G384" cm="1">
        <f t="array" ref="G38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85" spans="1:7" x14ac:dyDescent="0.2">
      <c r="A385" t="s">
        <v>782</v>
      </c>
      <c r="B385" t="s">
        <v>783</v>
      </c>
      <c r="C385" t="s">
        <v>6</v>
      </c>
      <c r="D385" t="s">
        <v>18</v>
      </c>
      <c r="E385" t="s">
        <v>1579</v>
      </c>
      <c r="F385" t="str" cm="1">
        <f t="array" ref="F385">_xlfn.IFS(Table1[[#This Row],[Country]]="United States","US",Table1[[#This Row],[Country]]="United Kingdom","UK",TRUE,"EU")</f>
        <v>EU</v>
      </c>
      <c r="G385" cm="1">
        <f t="array" ref="G38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86" spans="1:7" x14ac:dyDescent="0.2">
      <c r="A386" t="s">
        <v>784</v>
      </c>
      <c r="B386" t="s">
        <v>785</v>
      </c>
      <c r="C386" t="s">
        <v>6</v>
      </c>
      <c r="D386" t="s">
        <v>25</v>
      </c>
      <c r="E386" t="s">
        <v>1574</v>
      </c>
      <c r="F386" t="str" cm="1">
        <f t="array" ref="F386">_xlfn.IFS(Table1[[#This Row],[Country]]="United States","US",Table1[[#This Row],[Country]]="United Kingdom","UK",TRUE,"EU")</f>
        <v>US</v>
      </c>
      <c r="G386" cm="1">
        <f t="array" ref="G38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387" spans="1:7" x14ac:dyDescent="0.2">
      <c r="A387" t="s">
        <v>786</v>
      </c>
      <c r="B387" t="s">
        <v>787</v>
      </c>
      <c r="C387" t="s">
        <v>17</v>
      </c>
      <c r="D387" t="s">
        <v>7</v>
      </c>
      <c r="E387" t="s">
        <v>1575</v>
      </c>
      <c r="F387" t="str" cm="1">
        <f t="array" ref="F387">_xlfn.IFS(Table1[[#This Row],[Country]]="United States","US",Table1[[#This Row],[Country]]="United Kingdom","UK",TRUE,"EU")</f>
        <v>UK</v>
      </c>
      <c r="G387" cm="1">
        <f t="array" ref="G38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88" spans="1:7" x14ac:dyDescent="0.2">
      <c r="A388" t="s">
        <v>788</v>
      </c>
      <c r="B388" t="s">
        <v>789</v>
      </c>
      <c r="C388" t="s">
        <v>24</v>
      </c>
      <c r="D388" t="s">
        <v>18</v>
      </c>
      <c r="E388" t="s">
        <v>1574</v>
      </c>
      <c r="F388" t="str" cm="1">
        <f t="array" ref="F388">_xlfn.IFS(Table1[[#This Row],[Country]]="United States","US",Table1[[#This Row],[Country]]="United Kingdom","UK",TRUE,"EU")</f>
        <v>US</v>
      </c>
      <c r="G388" cm="1">
        <f t="array" ref="G38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89" spans="1:7" x14ac:dyDescent="0.2">
      <c r="A389" t="s">
        <v>790</v>
      </c>
      <c r="B389" t="s">
        <v>791</v>
      </c>
      <c r="C389" t="s">
        <v>17</v>
      </c>
      <c r="D389" t="s">
        <v>7</v>
      </c>
      <c r="E389" t="s">
        <v>1574</v>
      </c>
      <c r="F389" t="str" cm="1">
        <f t="array" ref="F389">_xlfn.IFS(Table1[[#This Row],[Country]]="United States","US",Table1[[#This Row],[Country]]="United Kingdom","UK",TRUE,"EU")</f>
        <v>US</v>
      </c>
      <c r="G389" cm="1">
        <f t="array" ref="G38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90" spans="1:7" x14ac:dyDescent="0.2">
      <c r="A390" t="s">
        <v>792</v>
      </c>
      <c r="B390" t="s">
        <v>793</v>
      </c>
      <c r="C390" t="s">
        <v>24</v>
      </c>
      <c r="D390" t="s">
        <v>42</v>
      </c>
      <c r="E390" t="s">
        <v>1576</v>
      </c>
      <c r="F390" t="str" cm="1">
        <f t="array" ref="F390">_xlfn.IFS(Table1[[#This Row],[Country]]="United States","US",Table1[[#This Row],[Country]]="United Kingdom","UK",TRUE,"EU")</f>
        <v>EU</v>
      </c>
      <c r="G390" cm="1">
        <f t="array" ref="G39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91" spans="1:7" x14ac:dyDescent="0.2">
      <c r="A391" t="s">
        <v>794</v>
      </c>
      <c r="B391" t="s">
        <v>795</v>
      </c>
      <c r="C391" t="s">
        <v>24</v>
      </c>
      <c r="D391" t="s">
        <v>18</v>
      </c>
      <c r="E391" t="s">
        <v>1576</v>
      </c>
      <c r="F391" t="str" cm="1">
        <f t="array" ref="F391">_xlfn.IFS(Table1[[#This Row],[Country]]="United States","US",Table1[[#This Row],[Country]]="United Kingdom","UK",TRUE,"EU")</f>
        <v>EU</v>
      </c>
      <c r="G391" cm="1">
        <f t="array" ref="G39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92" spans="1:7" x14ac:dyDescent="0.2">
      <c r="A392" t="s">
        <v>796</v>
      </c>
      <c r="B392" t="s">
        <v>797</v>
      </c>
      <c r="C392" t="s">
        <v>17</v>
      </c>
      <c r="D392" t="s">
        <v>188</v>
      </c>
      <c r="E392" t="s">
        <v>1575</v>
      </c>
      <c r="F392" t="str" cm="1">
        <f t="array" ref="F392">_xlfn.IFS(Table1[[#This Row],[Country]]="United States","US",Table1[[#This Row],[Country]]="United Kingdom","UK",TRUE,"EU")</f>
        <v>UK</v>
      </c>
      <c r="G392" cm="1">
        <f t="array" ref="G39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393" spans="1:7" x14ac:dyDescent="0.2">
      <c r="A393" t="s">
        <v>798</v>
      </c>
      <c r="B393" t="s">
        <v>799</v>
      </c>
      <c r="C393" t="s">
        <v>24</v>
      </c>
      <c r="D393" t="s">
        <v>7</v>
      </c>
      <c r="E393" t="s">
        <v>1576</v>
      </c>
      <c r="F393" t="str" cm="1">
        <f t="array" ref="F393">_xlfn.IFS(Table1[[#This Row],[Country]]="United States","US",Table1[[#This Row],[Country]]="United Kingdom","UK",TRUE,"EU")</f>
        <v>EU</v>
      </c>
      <c r="G393" cm="1">
        <f t="array" ref="G39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94" spans="1:7" x14ac:dyDescent="0.2">
      <c r="A394" t="s">
        <v>800</v>
      </c>
      <c r="B394" t="s">
        <v>801</v>
      </c>
      <c r="C394" t="s">
        <v>17</v>
      </c>
      <c r="D394" t="s">
        <v>7</v>
      </c>
      <c r="E394" t="s">
        <v>1575</v>
      </c>
      <c r="F394" t="str" cm="1">
        <f t="array" ref="F394">_xlfn.IFS(Table1[[#This Row],[Country]]="United States","US",Table1[[#This Row],[Country]]="United Kingdom","UK",TRUE,"EU")</f>
        <v>UK</v>
      </c>
      <c r="G394" cm="1">
        <f t="array" ref="G39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95" spans="1:7" x14ac:dyDescent="0.2">
      <c r="A395" t="s">
        <v>802</v>
      </c>
      <c r="B395" t="s">
        <v>803</v>
      </c>
      <c r="C395" t="s">
        <v>24</v>
      </c>
      <c r="D395" t="s">
        <v>118</v>
      </c>
      <c r="E395" t="s">
        <v>1575</v>
      </c>
      <c r="F395" t="str" cm="1">
        <f t="array" ref="F395">_xlfn.IFS(Table1[[#This Row],[Country]]="United States","US",Table1[[#This Row],[Country]]="United Kingdom","UK",TRUE,"EU")</f>
        <v>UK</v>
      </c>
      <c r="G395" cm="1">
        <f t="array" ref="G39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96" spans="1:7" x14ac:dyDescent="0.2">
      <c r="A396" t="s">
        <v>804</v>
      </c>
      <c r="B396" t="s">
        <v>805</v>
      </c>
      <c r="C396" t="s">
        <v>6</v>
      </c>
      <c r="D396" t="s">
        <v>7</v>
      </c>
      <c r="E396" t="s">
        <v>1574</v>
      </c>
      <c r="F396" t="str" cm="1">
        <f t="array" ref="F396">_xlfn.IFS(Table1[[#This Row],[Country]]="United States","US",Table1[[#This Row],[Country]]="United Kingdom","UK",TRUE,"EU")</f>
        <v>US</v>
      </c>
      <c r="G396" cm="1">
        <f t="array" ref="G39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97" spans="1:7" x14ac:dyDescent="0.2">
      <c r="A397" t="s">
        <v>806</v>
      </c>
      <c r="B397" t="s">
        <v>807</v>
      </c>
      <c r="C397" t="s">
        <v>24</v>
      </c>
      <c r="D397" t="s">
        <v>21</v>
      </c>
      <c r="E397" t="s">
        <v>1574</v>
      </c>
      <c r="F397" t="str" cm="1">
        <f t="array" ref="F397">_xlfn.IFS(Table1[[#This Row],[Country]]="United States","US",Table1[[#This Row],[Country]]="United Kingdom","UK",TRUE,"EU")</f>
        <v>US</v>
      </c>
      <c r="G397" cm="1">
        <f t="array" ref="G39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398" spans="1:7" x14ac:dyDescent="0.2">
      <c r="A398" t="s">
        <v>808</v>
      </c>
      <c r="B398" t="s">
        <v>809</v>
      </c>
      <c r="C398" t="s">
        <v>17</v>
      </c>
      <c r="D398" t="s">
        <v>7</v>
      </c>
      <c r="E398" t="s">
        <v>1576</v>
      </c>
      <c r="F398" t="str" cm="1">
        <f t="array" ref="F398">_xlfn.IFS(Table1[[#This Row],[Country]]="United States","US",Table1[[#This Row],[Country]]="United Kingdom","UK",TRUE,"EU")</f>
        <v>EU</v>
      </c>
      <c r="G398" cm="1">
        <f t="array" ref="G39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399" spans="1:7" x14ac:dyDescent="0.2">
      <c r="A399" t="s">
        <v>810</v>
      </c>
      <c r="B399" t="s">
        <v>811</v>
      </c>
      <c r="C399" t="s">
        <v>6</v>
      </c>
      <c r="D399" t="s">
        <v>7</v>
      </c>
      <c r="E399" t="s">
        <v>1576</v>
      </c>
      <c r="F399" t="str" cm="1">
        <f t="array" ref="F399">_xlfn.IFS(Table1[[#This Row],[Country]]="United States","US",Table1[[#This Row],[Country]]="United Kingdom","UK",TRUE,"EU")</f>
        <v>EU</v>
      </c>
      <c r="G399" cm="1">
        <f t="array" ref="G39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00" spans="1:7" x14ac:dyDescent="0.2">
      <c r="A400" t="s">
        <v>812</v>
      </c>
      <c r="B400" t="s">
        <v>813</v>
      </c>
      <c r="C400" t="s">
        <v>53</v>
      </c>
      <c r="D400" t="s">
        <v>11</v>
      </c>
      <c r="E400" t="s">
        <v>1576</v>
      </c>
      <c r="F400" t="str" cm="1">
        <f t="array" ref="F400">_xlfn.IFS(Table1[[#This Row],[Country]]="United States","US",Table1[[#This Row],[Country]]="United Kingdom","UK",TRUE,"EU")</f>
        <v>EU</v>
      </c>
      <c r="G400" cm="1">
        <f t="array" ref="G40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401" spans="1:7" x14ac:dyDescent="0.2">
      <c r="A401" t="s">
        <v>814</v>
      </c>
      <c r="B401" t="s">
        <v>815</v>
      </c>
      <c r="C401" t="s">
        <v>24</v>
      </c>
      <c r="D401" t="s">
        <v>25</v>
      </c>
      <c r="E401" t="s">
        <v>1574</v>
      </c>
      <c r="F401" t="str" cm="1">
        <f t="array" ref="F401">_xlfn.IFS(Table1[[#This Row],[Country]]="United States","US",Table1[[#This Row],[Country]]="United Kingdom","UK",TRUE,"EU")</f>
        <v>US</v>
      </c>
      <c r="G401" cm="1">
        <f t="array" ref="G40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02" spans="1:7" x14ac:dyDescent="0.2">
      <c r="A402" t="s">
        <v>816</v>
      </c>
      <c r="B402" t="s">
        <v>817</v>
      </c>
      <c r="C402" t="s">
        <v>24</v>
      </c>
      <c r="D402" t="s">
        <v>25</v>
      </c>
      <c r="E402" t="s">
        <v>1574</v>
      </c>
      <c r="F402" t="str" cm="1">
        <f t="array" ref="F402">_xlfn.IFS(Table1[[#This Row],[Country]]="United States","US",Table1[[#This Row],[Country]]="United Kingdom","UK",TRUE,"EU")</f>
        <v>US</v>
      </c>
      <c r="G402" cm="1">
        <f t="array" ref="G40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03" spans="1:7" x14ac:dyDescent="0.2">
      <c r="A403" t="s">
        <v>818</v>
      </c>
      <c r="B403" t="s">
        <v>819</v>
      </c>
      <c r="C403" t="s">
        <v>17</v>
      </c>
      <c r="D403" t="s">
        <v>18</v>
      </c>
      <c r="E403" t="s">
        <v>1574</v>
      </c>
      <c r="F403" t="str" cm="1">
        <f t="array" ref="F403">_xlfn.IFS(Table1[[#This Row],[Country]]="United States","US",Table1[[#This Row],[Country]]="United Kingdom","UK",TRUE,"EU")</f>
        <v>US</v>
      </c>
      <c r="G403" cm="1">
        <f t="array" ref="G40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04" spans="1:7" x14ac:dyDescent="0.2">
      <c r="A404" t="s">
        <v>820</v>
      </c>
      <c r="B404" t="s">
        <v>821</v>
      </c>
      <c r="C404" t="s">
        <v>10</v>
      </c>
      <c r="D404" t="s">
        <v>118</v>
      </c>
      <c r="E404" t="s">
        <v>1574</v>
      </c>
      <c r="F404" t="str" cm="1">
        <f t="array" ref="F404">_xlfn.IFS(Table1[[#This Row],[Country]]="United States","US",Table1[[#This Row],[Country]]="United Kingdom","UK",TRUE,"EU")</f>
        <v>US</v>
      </c>
      <c r="G404" cm="1">
        <f t="array" ref="G40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05" spans="1:7" x14ac:dyDescent="0.2">
      <c r="A405" t="s">
        <v>822</v>
      </c>
      <c r="B405" t="s">
        <v>823</v>
      </c>
      <c r="C405" t="s">
        <v>10</v>
      </c>
      <c r="D405" t="s">
        <v>11</v>
      </c>
      <c r="E405" t="s">
        <v>1575</v>
      </c>
      <c r="F405" t="str" cm="1">
        <f t="array" ref="F405">_xlfn.IFS(Table1[[#This Row],[Country]]="United States","US",Table1[[#This Row],[Country]]="United Kingdom","UK",TRUE,"EU")</f>
        <v>UK</v>
      </c>
      <c r="G405" cm="1">
        <f t="array" ref="G40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406" spans="1:7" x14ac:dyDescent="0.2">
      <c r="A406" t="s">
        <v>824</v>
      </c>
      <c r="B406" t="s">
        <v>825</v>
      </c>
      <c r="C406" t="s">
        <v>10</v>
      </c>
      <c r="D406" t="s">
        <v>21</v>
      </c>
      <c r="E406" t="s">
        <v>1574</v>
      </c>
      <c r="F406" t="str" cm="1">
        <f t="array" ref="F406">_xlfn.IFS(Table1[[#This Row],[Country]]="United States","US",Table1[[#This Row],[Country]]="United Kingdom","UK",TRUE,"EU")</f>
        <v>US</v>
      </c>
      <c r="G406" cm="1">
        <f t="array" ref="G40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07" spans="1:7" x14ac:dyDescent="0.2">
      <c r="A407" t="s">
        <v>826</v>
      </c>
      <c r="B407" t="s">
        <v>827</v>
      </c>
      <c r="C407" t="s">
        <v>17</v>
      </c>
      <c r="D407" t="s">
        <v>25</v>
      </c>
      <c r="E407" t="s">
        <v>1574</v>
      </c>
      <c r="F407" t="str" cm="1">
        <f t="array" ref="F407">_xlfn.IFS(Table1[[#This Row],[Country]]="United States","US",Table1[[#This Row],[Country]]="United Kingdom","UK",TRUE,"EU")</f>
        <v>US</v>
      </c>
      <c r="G407" cm="1">
        <f t="array" ref="G40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08" spans="1:7" x14ac:dyDescent="0.2">
      <c r="A408" t="s">
        <v>828</v>
      </c>
      <c r="B408" t="s">
        <v>829</v>
      </c>
      <c r="C408" t="s">
        <v>17</v>
      </c>
      <c r="D408" t="s">
        <v>7</v>
      </c>
      <c r="E408" t="s">
        <v>1579</v>
      </c>
      <c r="F408" t="str" cm="1">
        <f t="array" ref="F408">_xlfn.IFS(Table1[[#This Row],[Country]]="United States","US",Table1[[#This Row],[Country]]="United Kingdom","UK",TRUE,"EU")</f>
        <v>EU</v>
      </c>
      <c r="G408" cm="1">
        <f t="array" ref="G40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09" spans="1:7" x14ac:dyDescent="0.2">
      <c r="A409" t="s">
        <v>830</v>
      </c>
      <c r="B409" t="s">
        <v>831</v>
      </c>
      <c r="C409" t="s">
        <v>53</v>
      </c>
      <c r="D409" t="s">
        <v>11</v>
      </c>
      <c r="E409" t="s">
        <v>1576</v>
      </c>
      <c r="F409" t="str" cm="1">
        <f t="array" ref="F409">_xlfn.IFS(Table1[[#This Row],[Country]]="United States","US",Table1[[#This Row],[Country]]="United Kingdom","UK",TRUE,"EU")</f>
        <v>EU</v>
      </c>
      <c r="G409" cm="1">
        <f t="array" ref="G40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410" spans="1:7" x14ac:dyDescent="0.2">
      <c r="A410" t="s">
        <v>832</v>
      </c>
      <c r="B410" t="s">
        <v>833</v>
      </c>
      <c r="C410" t="s">
        <v>10</v>
      </c>
      <c r="D410" t="s">
        <v>16</v>
      </c>
      <c r="E410" t="s">
        <v>1575</v>
      </c>
      <c r="F410" t="str" cm="1">
        <f t="array" ref="F410">_xlfn.IFS(Table1[[#This Row],[Country]]="United States","US",Table1[[#This Row],[Country]]="United Kingdom","UK",TRUE,"EU")</f>
        <v>UK</v>
      </c>
      <c r="G410" cm="1">
        <f t="array" ref="G41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11" spans="1:7" x14ac:dyDescent="0.2">
      <c r="A411" t="s">
        <v>834</v>
      </c>
      <c r="B411" t="s">
        <v>835</v>
      </c>
      <c r="C411" t="s">
        <v>17</v>
      </c>
      <c r="D411" t="s">
        <v>7</v>
      </c>
      <c r="E411" t="s">
        <v>1574</v>
      </c>
      <c r="F411" t="str" cm="1">
        <f t="array" ref="F411">_xlfn.IFS(Table1[[#This Row],[Country]]="United States","US",Table1[[#This Row],[Country]]="United Kingdom","UK",TRUE,"EU")</f>
        <v>US</v>
      </c>
      <c r="G411" cm="1">
        <f t="array" ref="G41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12" spans="1:7" x14ac:dyDescent="0.2">
      <c r="A412" t="s">
        <v>836</v>
      </c>
      <c r="B412" t="s">
        <v>837</v>
      </c>
      <c r="C412" t="s">
        <v>17</v>
      </c>
      <c r="D412" t="s">
        <v>25</v>
      </c>
      <c r="E412" t="s">
        <v>1574</v>
      </c>
      <c r="F412" t="str" cm="1">
        <f t="array" ref="F412">_xlfn.IFS(Table1[[#This Row],[Country]]="United States","US",Table1[[#This Row],[Country]]="United Kingdom","UK",TRUE,"EU")</f>
        <v>US</v>
      </c>
      <c r="G412" cm="1">
        <f t="array" ref="G41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13" spans="1:7" x14ac:dyDescent="0.2">
      <c r="A413" t="s">
        <v>838</v>
      </c>
      <c r="B413" t="s">
        <v>839</v>
      </c>
      <c r="C413" t="s">
        <v>17</v>
      </c>
      <c r="D413" t="s">
        <v>16</v>
      </c>
      <c r="E413" t="s">
        <v>1574</v>
      </c>
      <c r="F413" t="str" cm="1">
        <f t="array" ref="F413">_xlfn.IFS(Table1[[#This Row],[Country]]="United States","US",Table1[[#This Row],[Country]]="United Kingdom","UK",TRUE,"EU")</f>
        <v>US</v>
      </c>
      <c r="G413" cm="1">
        <f t="array" ref="G41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14" spans="1:7" x14ac:dyDescent="0.2">
      <c r="A414" t="s">
        <v>840</v>
      </c>
      <c r="B414" t="s">
        <v>841</v>
      </c>
      <c r="C414" t="s">
        <v>17</v>
      </c>
      <c r="D414" t="s">
        <v>42</v>
      </c>
      <c r="E414" t="s">
        <v>1579</v>
      </c>
      <c r="F414" t="str" cm="1">
        <f t="array" ref="F414">_xlfn.IFS(Table1[[#This Row],[Country]]="United States","US",Table1[[#This Row],[Country]]="United Kingdom","UK",TRUE,"EU")</f>
        <v>EU</v>
      </c>
      <c r="G414" cm="1">
        <f t="array" ref="G41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15" spans="1:7" x14ac:dyDescent="0.2">
      <c r="A415" t="s">
        <v>842</v>
      </c>
      <c r="B415" t="s">
        <v>843</v>
      </c>
      <c r="C415" t="s">
        <v>53</v>
      </c>
      <c r="D415" t="s">
        <v>11</v>
      </c>
      <c r="E415" t="s">
        <v>1574</v>
      </c>
      <c r="F415" t="str" cm="1">
        <f t="array" ref="F415">_xlfn.IFS(Table1[[#This Row],[Country]]="United States","US",Table1[[#This Row],[Country]]="United Kingdom","UK",TRUE,"EU")</f>
        <v>US</v>
      </c>
      <c r="G415" cm="1">
        <f t="array" ref="G41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416" spans="1:7" x14ac:dyDescent="0.2">
      <c r="A416" t="s">
        <v>844</v>
      </c>
      <c r="B416" t="s">
        <v>845</v>
      </c>
      <c r="C416" t="s">
        <v>17</v>
      </c>
      <c r="D416" t="s">
        <v>42</v>
      </c>
      <c r="E416" t="s">
        <v>1574</v>
      </c>
      <c r="F416" t="str" cm="1">
        <f t="array" ref="F416">_xlfn.IFS(Table1[[#This Row],[Country]]="United States","US",Table1[[#This Row],[Country]]="United Kingdom","UK",TRUE,"EU")</f>
        <v>US</v>
      </c>
      <c r="G416" cm="1">
        <f t="array" ref="G41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17" spans="1:7" x14ac:dyDescent="0.2">
      <c r="A417" t="s">
        <v>846</v>
      </c>
      <c r="B417" t="s">
        <v>847</v>
      </c>
      <c r="C417" t="s">
        <v>53</v>
      </c>
      <c r="D417" t="s">
        <v>25</v>
      </c>
      <c r="E417" t="s">
        <v>1576</v>
      </c>
      <c r="F417" t="str" cm="1">
        <f t="array" ref="F417">_xlfn.IFS(Table1[[#This Row],[Country]]="United States","US",Table1[[#This Row],[Country]]="United Kingdom","UK",TRUE,"EU")</f>
        <v>EU</v>
      </c>
      <c r="G417" cm="1">
        <f t="array" ref="G41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18" spans="1:7" x14ac:dyDescent="0.2">
      <c r="A418" t="s">
        <v>848</v>
      </c>
      <c r="B418" t="s">
        <v>849</v>
      </c>
      <c r="C418" t="s">
        <v>6</v>
      </c>
      <c r="D418" t="s">
        <v>18</v>
      </c>
      <c r="E418" t="s">
        <v>1574</v>
      </c>
      <c r="F418" t="str" cm="1">
        <f t="array" ref="F418">_xlfn.IFS(Table1[[#This Row],[Country]]="United States","US",Table1[[#This Row],[Country]]="United Kingdom","UK",TRUE,"EU")</f>
        <v>US</v>
      </c>
      <c r="G418" cm="1">
        <f t="array" ref="G41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19" spans="1:7" x14ac:dyDescent="0.2">
      <c r="A419" t="s">
        <v>850</v>
      </c>
      <c r="B419" t="s">
        <v>851</v>
      </c>
      <c r="C419" t="s">
        <v>6</v>
      </c>
      <c r="D419" t="s">
        <v>21</v>
      </c>
      <c r="E419" t="s">
        <v>1574</v>
      </c>
      <c r="F419" t="str" cm="1">
        <f t="array" ref="F419">_xlfn.IFS(Table1[[#This Row],[Country]]="United States","US",Table1[[#This Row],[Country]]="United Kingdom","UK",TRUE,"EU")</f>
        <v>US</v>
      </c>
      <c r="G419" cm="1">
        <f t="array" ref="G41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20" spans="1:7" x14ac:dyDescent="0.2">
      <c r="A420" t="s">
        <v>852</v>
      </c>
      <c r="B420" t="s">
        <v>853</v>
      </c>
      <c r="C420" t="s">
        <v>17</v>
      </c>
      <c r="D420" t="s">
        <v>18</v>
      </c>
      <c r="E420" t="s">
        <v>1576</v>
      </c>
      <c r="F420" t="str" cm="1">
        <f t="array" ref="F420">_xlfn.IFS(Table1[[#This Row],[Country]]="United States","US",Table1[[#This Row],[Country]]="United Kingdom","UK",TRUE,"EU")</f>
        <v>EU</v>
      </c>
      <c r="G420" cm="1">
        <f t="array" ref="G42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21" spans="1:7" x14ac:dyDescent="0.2">
      <c r="A421" t="s">
        <v>854</v>
      </c>
      <c r="B421" t="s">
        <v>855</v>
      </c>
      <c r="C421" t="s">
        <v>24</v>
      </c>
      <c r="D421" t="s">
        <v>7</v>
      </c>
      <c r="E421" t="s">
        <v>1574</v>
      </c>
      <c r="F421" t="str" cm="1">
        <f t="array" ref="F421">_xlfn.IFS(Table1[[#This Row],[Country]]="United States","US",Table1[[#This Row],[Country]]="United Kingdom","UK",TRUE,"EU")</f>
        <v>US</v>
      </c>
      <c r="G421" cm="1">
        <f t="array" ref="G42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22" spans="1:7" x14ac:dyDescent="0.2">
      <c r="A422" t="s">
        <v>856</v>
      </c>
      <c r="B422" t="s">
        <v>857</v>
      </c>
      <c r="C422" t="s">
        <v>53</v>
      </c>
      <c r="D422" t="s">
        <v>25</v>
      </c>
      <c r="E422" t="s">
        <v>1574</v>
      </c>
      <c r="F422" t="str" cm="1">
        <f t="array" ref="F422">_xlfn.IFS(Table1[[#This Row],[Country]]="United States","US",Table1[[#This Row],[Country]]="United Kingdom","UK",TRUE,"EU")</f>
        <v>US</v>
      </c>
      <c r="G422" cm="1">
        <f t="array" ref="G42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23" spans="1:7" x14ac:dyDescent="0.2">
      <c r="A423" t="s">
        <v>858</v>
      </c>
      <c r="B423" t="s">
        <v>859</v>
      </c>
      <c r="C423" t="s">
        <v>17</v>
      </c>
      <c r="D423" t="s">
        <v>18</v>
      </c>
      <c r="E423" t="s">
        <v>1574</v>
      </c>
      <c r="F423" t="str" cm="1">
        <f t="array" ref="F423">_xlfn.IFS(Table1[[#This Row],[Country]]="United States","US",Table1[[#This Row],[Country]]="United Kingdom","UK",TRUE,"EU")</f>
        <v>US</v>
      </c>
      <c r="G423" cm="1">
        <f t="array" ref="G42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24" spans="1:7" x14ac:dyDescent="0.2">
      <c r="A424" t="s">
        <v>860</v>
      </c>
      <c r="B424" t="s">
        <v>861</v>
      </c>
      <c r="C424" t="s">
        <v>17</v>
      </c>
      <c r="D424" t="s">
        <v>7</v>
      </c>
      <c r="E424" t="s">
        <v>1574</v>
      </c>
      <c r="F424" t="str" cm="1">
        <f t="array" ref="F424">_xlfn.IFS(Table1[[#This Row],[Country]]="United States","US",Table1[[#This Row],[Country]]="United Kingdom","UK",TRUE,"EU")</f>
        <v>US</v>
      </c>
      <c r="G424" cm="1">
        <f t="array" ref="G42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25" spans="1:7" x14ac:dyDescent="0.2">
      <c r="A425" t="s">
        <v>862</v>
      </c>
      <c r="B425" t="s">
        <v>863</v>
      </c>
      <c r="C425" t="s">
        <v>6</v>
      </c>
      <c r="D425" t="s">
        <v>11</v>
      </c>
      <c r="E425" t="s">
        <v>1574</v>
      </c>
      <c r="F425" t="str" cm="1">
        <f t="array" ref="F425">_xlfn.IFS(Table1[[#This Row],[Country]]="United States","US",Table1[[#This Row],[Country]]="United Kingdom","UK",TRUE,"EU")</f>
        <v>US</v>
      </c>
      <c r="G425" cm="1">
        <f t="array" ref="G42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426" spans="1:7" x14ac:dyDescent="0.2">
      <c r="A426" t="s">
        <v>864</v>
      </c>
      <c r="B426" t="s">
        <v>865</v>
      </c>
      <c r="C426" t="s">
        <v>24</v>
      </c>
      <c r="D426" t="s">
        <v>42</v>
      </c>
      <c r="E426" t="s">
        <v>1576</v>
      </c>
      <c r="F426" t="str" cm="1">
        <f t="array" ref="F426">_xlfn.IFS(Table1[[#This Row],[Country]]="United States","US",Table1[[#This Row],[Country]]="United Kingdom","UK",TRUE,"EU")</f>
        <v>EU</v>
      </c>
      <c r="G426" cm="1">
        <f t="array" ref="G42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27" spans="1:7" x14ac:dyDescent="0.2">
      <c r="A427" t="s">
        <v>866</v>
      </c>
      <c r="B427" t="s">
        <v>867</v>
      </c>
      <c r="C427" t="s">
        <v>17</v>
      </c>
      <c r="D427" t="s">
        <v>18</v>
      </c>
      <c r="E427" t="s">
        <v>1579</v>
      </c>
      <c r="F427" t="str" cm="1">
        <f t="array" ref="F427">_xlfn.IFS(Table1[[#This Row],[Country]]="United States","US",Table1[[#This Row],[Country]]="United Kingdom","UK",TRUE,"EU")</f>
        <v>EU</v>
      </c>
      <c r="G427" cm="1">
        <f t="array" ref="G42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28" spans="1:7" x14ac:dyDescent="0.2">
      <c r="A428" t="s">
        <v>868</v>
      </c>
      <c r="B428" t="s">
        <v>869</v>
      </c>
      <c r="C428" t="s">
        <v>24</v>
      </c>
      <c r="D428" t="s">
        <v>42</v>
      </c>
      <c r="E428" t="s">
        <v>1579</v>
      </c>
      <c r="F428" t="str" cm="1">
        <f t="array" ref="F428">_xlfn.IFS(Table1[[#This Row],[Country]]="United States","US",Table1[[#This Row],[Country]]="United Kingdom","UK",TRUE,"EU")</f>
        <v>EU</v>
      </c>
      <c r="G428" cm="1">
        <f t="array" ref="G42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29" spans="1:7" x14ac:dyDescent="0.2">
      <c r="A429" t="s">
        <v>870</v>
      </c>
      <c r="B429" t="s">
        <v>871</v>
      </c>
      <c r="C429" t="s">
        <v>6</v>
      </c>
      <c r="D429" t="s">
        <v>7</v>
      </c>
      <c r="E429" t="s">
        <v>1574</v>
      </c>
      <c r="F429" t="str" cm="1">
        <f t="array" ref="F429">_xlfn.IFS(Table1[[#This Row],[Country]]="United States","US",Table1[[#This Row],[Country]]="United Kingdom","UK",TRUE,"EU")</f>
        <v>US</v>
      </c>
      <c r="G429" cm="1">
        <f t="array" ref="G42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30" spans="1:7" x14ac:dyDescent="0.2">
      <c r="A430" t="s">
        <v>872</v>
      </c>
      <c r="B430" t="s">
        <v>873</v>
      </c>
      <c r="C430" t="s">
        <v>53</v>
      </c>
      <c r="D430" t="s">
        <v>7</v>
      </c>
      <c r="E430" t="s">
        <v>1574</v>
      </c>
      <c r="F430" t="str" cm="1">
        <f t="array" ref="F430">_xlfn.IFS(Table1[[#This Row],[Country]]="United States","US",Table1[[#This Row],[Country]]="United Kingdom","UK",TRUE,"EU")</f>
        <v>US</v>
      </c>
      <c r="G430" cm="1">
        <f t="array" ref="G43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31" spans="1:7" x14ac:dyDescent="0.2">
      <c r="A431" t="s">
        <v>874</v>
      </c>
      <c r="B431" t="s">
        <v>875</v>
      </c>
      <c r="C431" t="s">
        <v>17</v>
      </c>
      <c r="D431" t="s">
        <v>25</v>
      </c>
      <c r="E431" t="s">
        <v>1574</v>
      </c>
      <c r="F431" t="str" cm="1">
        <f t="array" ref="F431">_xlfn.IFS(Table1[[#This Row],[Country]]="United States","US",Table1[[#This Row],[Country]]="United Kingdom","UK",TRUE,"EU")</f>
        <v>US</v>
      </c>
      <c r="G431" cm="1">
        <f t="array" ref="G43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32" spans="1:7" x14ac:dyDescent="0.2">
      <c r="A432" t="s">
        <v>876</v>
      </c>
      <c r="B432" t="s">
        <v>877</v>
      </c>
      <c r="C432" t="s">
        <v>17</v>
      </c>
      <c r="D432" t="s">
        <v>18</v>
      </c>
      <c r="E432" t="s">
        <v>1574</v>
      </c>
      <c r="F432" t="str" cm="1">
        <f t="array" ref="F432">_xlfn.IFS(Table1[[#This Row],[Country]]="United States","US",Table1[[#This Row],[Country]]="United Kingdom","UK",TRUE,"EU")</f>
        <v>US</v>
      </c>
      <c r="G432" cm="1">
        <f t="array" ref="G43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33" spans="1:7" x14ac:dyDescent="0.2">
      <c r="A433" t="s">
        <v>878</v>
      </c>
      <c r="B433" t="s">
        <v>879</v>
      </c>
      <c r="C433" t="s">
        <v>17</v>
      </c>
      <c r="D433" t="s">
        <v>21</v>
      </c>
      <c r="E433" t="s">
        <v>1574</v>
      </c>
      <c r="F433" t="str" cm="1">
        <f t="array" ref="F433">_xlfn.IFS(Table1[[#This Row],[Country]]="United States","US",Table1[[#This Row],[Country]]="United Kingdom","UK",TRUE,"EU")</f>
        <v>US</v>
      </c>
      <c r="G433" cm="1">
        <f t="array" ref="G43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34" spans="1:7" x14ac:dyDescent="0.2">
      <c r="A434" t="s">
        <v>880</v>
      </c>
      <c r="B434" t="s">
        <v>881</v>
      </c>
      <c r="C434" t="s">
        <v>17</v>
      </c>
      <c r="D434" t="s">
        <v>25</v>
      </c>
      <c r="E434" t="s">
        <v>1576</v>
      </c>
      <c r="F434" t="str" cm="1">
        <f t="array" ref="F434">_xlfn.IFS(Table1[[#This Row],[Country]]="United States","US",Table1[[#This Row],[Country]]="United Kingdom","UK",TRUE,"EU")</f>
        <v>EU</v>
      </c>
      <c r="G434" cm="1">
        <f t="array" ref="G43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35" spans="1:7" x14ac:dyDescent="0.2">
      <c r="A435" t="s">
        <v>882</v>
      </c>
      <c r="B435" t="s">
        <v>883</v>
      </c>
      <c r="C435" t="s">
        <v>53</v>
      </c>
      <c r="D435" t="s">
        <v>25</v>
      </c>
      <c r="E435" t="s">
        <v>1574</v>
      </c>
      <c r="F435" t="str" cm="1">
        <f t="array" ref="F435">_xlfn.IFS(Table1[[#This Row],[Country]]="United States","US",Table1[[#This Row],[Country]]="United Kingdom","UK",TRUE,"EU")</f>
        <v>US</v>
      </c>
      <c r="G435" cm="1">
        <f t="array" ref="G43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36" spans="1:7" x14ac:dyDescent="0.2">
      <c r="A436" t="s">
        <v>884</v>
      </c>
      <c r="B436" t="s">
        <v>885</v>
      </c>
      <c r="C436" t="s">
        <v>6</v>
      </c>
      <c r="D436" t="s">
        <v>7</v>
      </c>
      <c r="E436" t="s">
        <v>1574</v>
      </c>
      <c r="F436" t="str" cm="1">
        <f t="array" ref="F436">_xlfn.IFS(Table1[[#This Row],[Country]]="United States","US",Table1[[#This Row],[Country]]="United Kingdom","UK",TRUE,"EU")</f>
        <v>US</v>
      </c>
      <c r="G436" cm="1">
        <f t="array" ref="G43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37" spans="1:7" x14ac:dyDescent="0.2">
      <c r="A437" t="s">
        <v>886</v>
      </c>
      <c r="B437" t="s">
        <v>887</v>
      </c>
      <c r="C437" t="s">
        <v>6</v>
      </c>
      <c r="D437" t="s">
        <v>21</v>
      </c>
      <c r="E437" t="s">
        <v>1574</v>
      </c>
      <c r="F437" t="str" cm="1">
        <f t="array" ref="F437">_xlfn.IFS(Table1[[#This Row],[Country]]="United States","US",Table1[[#This Row],[Country]]="United Kingdom","UK",TRUE,"EU")</f>
        <v>US</v>
      </c>
      <c r="G437" cm="1">
        <f t="array" ref="G43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38" spans="1:7" x14ac:dyDescent="0.2">
      <c r="A438" t="s">
        <v>888</v>
      </c>
      <c r="B438" t="s">
        <v>889</v>
      </c>
      <c r="C438" t="s">
        <v>17</v>
      </c>
      <c r="D438" t="s">
        <v>18</v>
      </c>
      <c r="E438" t="s">
        <v>1574</v>
      </c>
      <c r="F438" t="str" cm="1">
        <f t="array" ref="F438">_xlfn.IFS(Table1[[#This Row],[Country]]="United States","US",Table1[[#This Row],[Country]]="United Kingdom","UK",TRUE,"EU")</f>
        <v>US</v>
      </c>
      <c r="G438" cm="1">
        <f t="array" ref="G43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39" spans="1:7" x14ac:dyDescent="0.2">
      <c r="A439" t="s">
        <v>890</v>
      </c>
      <c r="B439" t="s">
        <v>891</v>
      </c>
      <c r="C439" t="s">
        <v>6</v>
      </c>
      <c r="D439" t="s">
        <v>18</v>
      </c>
      <c r="E439" t="s">
        <v>1574</v>
      </c>
      <c r="F439" t="str" cm="1">
        <f t="array" ref="F439">_xlfn.IFS(Table1[[#This Row],[Country]]="United States","US",Table1[[#This Row],[Country]]="United Kingdom","UK",TRUE,"EU")</f>
        <v>US</v>
      </c>
      <c r="G439" cm="1">
        <f t="array" ref="G43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40" spans="1:7" x14ac:dyDescent="0.2">
      <c r="A440" t="s">
        <v>892</v>
      </c>
      <c r="B440" t="s">
        <v>893</v>
      </c>
      <c r="C440" t="s">
        <v>6</v>
      </c>
      <c r="D440" t="s">
        <v>25</v>
      </c>
      <c r="E440" t="s">
        <v>1574</v>
      </c>
      <c r="F440" t="str" cm="1">
        <f t="array" ref="F440">_xlfn.IFS(Table1[[#This Row],[Country]]="United States","US",Table1[[#This Row],[Country]]="United Kingdom","UK",TRUE,"EU")</f>
        <v>US</v>
      </c>
      <c r="G440" cm="1">
        <f t="array" ref="G44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41" spans="1:7" x14ac:dyDescent="0.2">
      <c r="A441" t="s">
        <v>894</v>
      </c>
      <c r="B441" t="s">
        <v>895</v>
      </c>
      <c r="C441" t="s">
        <v>17</v>
      </c>
      <c r="D441" t="s">
        <v>33</v>
      </c>
      <c r="E441" t="s">
        <v>1575</v>
      </c>
      <c r="F441" t="str" cm="1">
        <f t="array" ref="F441">_xlfn.IFS(Table1[[#This Row],[Country]]="United States","US",Table1[[#This Row],[Country]]="United Kingdom","UK",TRUE,"EU")</f>
        <v>UK</v>
      </c>
      <c r="G441" cm="1">
        <f t="array" ref="G44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442" spans="1:7" x14ac:dyDescent="0.2">
      <c r="A442" t="s">
        <v>896</v>
      </c>
      <c r="B442" t="s">
        <v>897</v>
      </c>
      <c r="C442" t="s">
        <v>24</v>
      </c>
      <c r="D442" t="s">
        <v>191</v>
      </c>
      <c r="E442" t="s">
        <v>1576</v>
      </c>
      <c r="F442" t="str" cm="1">
        <f t="array" ref="F442">_xlfn.IFS(Table1[[#This Row],[Country]]="United States","US",Table1[[#This Row],[Country]]="United Kingdom","UK",TRUE,"EU")</f>
        <v>EU</v>
      </c>
      <c r="G442" cm="1">
        <f t="array" ref="G44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443" spans="1:7" x14ac:dyDescent="0.2">
      <c r="A443" t="s">
        <v>898</v>
      </c>
      <c r="B443" t="s">
        <v>899</v>
      </c>
      <c r="C443" t="s">
        <v>17</v>
      </c>
      <c r="D443" t="s">
        <v>7</v>
      </c>
      <c r="E443" t="s">
        <v>1574</v>
      </c>
      <c r="F443" t="str" cm="1">
        <f t="array" ref="F443">_xlfn.IFS(Table1[[#This Row],[Country]]="United States","US",Table1[[#This Row],[Country]]="United Kingdom","UK",TRUE,"EU")</f>
        <v>US</v>
      </c>
      <c r="G443" cm="1">
        <f t="array" ref="G44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44" spans="1:7" x14ac:dyDescent="0.2">
      <c r="A444" t="s">
        <v>900</v>
      </c>
      <c r="B444" t="s">
        <v>901</v>
      </c>
      <c r="C444" t="s">
        <v>17</v>
      </c>
      <c r="D444" t="s">
        <v>18</v>
      </c>
      <c r="E444" t="s">
        <v>1576</v>
      </c>
      <c r="F444" t="str" cm="1">
        <f t="array" ref="F444">_xlfn.IFS(Table1[[#This Row],[Country]]="United States","US",Table1[[#This Row],[Country]]="United Kingdom","UK",TRUE,"EU")</f>
        <v>EU</v>
      </c>
      <c r="G444" cm="1">
        <f t="array" ref="G44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45" spans="1:7" x14ac:dyDescent="0.2">
      <c r="A445" t="s">
        <v>902</v>
      </c>
      <c r="B445" t="s">
        <v>903</v>
      </c>
      <c r="C445" t="s">
        <v>17</v>
      </c>
      <c r="D445" t="s">
        <v>21</v>
      </c>
      <c r="E445" t="s">
        <v>1574</v>
      </c>
      <c r="F445" t="str" cm="1">
        <f t="array" ref="F445">_xlfn.IFS(Table1[[#This Row],[Country]]="United States","US",Table1[[#This Row],[Country]]="United Kingdom","UK",TRUE,"EU")</f>
        <v>US</v>
      </c>
      <c r="G445" cm="1">
        <f t="array" ref="G44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46" spans="1:7" x14ac:dyDescent="0.2">
      <c r="A446" t="s">
        <v>904</v>
      </c>
      <c r="B446" t="s">
        <v>905</v>
      </c>
      <c r="C446" t="s">
        <v>6</v>
      </c>
      <c r="D446" t="s">
        <v>42</v>
      </c>
      <c r="E446" t="s">
        <v>1579</v>
      </c>
      <c r="F446" t="str" cm="1">
        <f t="array" ref="F446">_xlfn.IFS(Table1[[#This Row],[Country]]="United States","US",Table1[[#This Row],[Country]]="United Kingdom","UK",TRUE,"EU")</f>
        <v>EU</v>
      </c>
      <c r="G446" cm="1">
        <f t="array" ref="G44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47" spans="1:7" x14ac:dyDescent="0.2">
      <c r="A447" t="s">
        <v>906</v>
      </c>
      <c r="B447" t="s">
        <v>907</v>
      </c>
      <c r="C447" t="s">
        <v>17</v>
      </c>
      <c r="D447" t="s">
        <v>7</v>
      </c>
      <c r="E447" t="s">
        <v>1579</v>
      </c>
      <c r="F447" t="str" cm="1">
        <f t="array" ref="F447">_xlfn.IFS(Table1[[#This Row],[Country]]="United States","US",Table1[[#This Row],[Country]]="United Kingdom","UK",TRUE,"EU")</f>
        <v>EU</v>
      </c>
      <c r="G447" cm="1">
        <f t="array" ref="G44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48" spans="1:7" x14ac:dyDescent="0.2">
      <c r="A448" t="s">
        <v>908</v>
      </c>
      <c r="B448" t="s">
        <v>909</v>
      </c>
      <c r="C448" t="s">
        <v>6</v>
      </c>
      <c r="D448" t="s">
        <v>7</v>
      </c>
      <c r="E448" t="s">
        <v>1574</v>
      </c>
      <c r="F448" t="str" cm="1">
        <f t="array" ref="F448">_xlfn.IFS(Table1[[#This Row],[Country]]="United States","US",Table1[[#This Row],[Country]]="United Kingdom","UK",TRUE,"EU")</f>
        <v>US</v>
      </c>
      <c r="G448" cm="1">
        <f t="array" ref="G44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49" spans="1:7" x14ac:dyDescent="0.2">
      <c r="A449" t="s">
        <v>910</v>
      </c>
      <c r="B449" t="s">
        <v>911</v>
      </c>
      <c r="C449" t="s">
        <v>6</v>
      </c>
      <c r="D449" t="s">
        <v>7</v>
      </c>
      <c r="E449" t="s">
        <v>1574</v>
      </c>
      <c r="F449" t="str" cm="1">
        <f t="array" ref="F449">_xlfn.IFS(Table1[[#This Row],[Country]]="United States","US",Table1[[#This Row],[Country]]="United Kingdom","UK",TRUE,"EU")</f>
        <v>US</v>
      </c>
      <c r="G449" cm="1">
        <f t="array" ref="G44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50" spans="1:7" x14ac:dyDescent="0.2">
      <c r="A450" t="s">
        <v>912</v>
      </c>
      <c r="B450" t="s">
        <v>913</v>
      </c>
      <c r="C450" t="s">
        <v>6</v>
      </c>
      <c r="D450" t="s">
        <v>118</v>
      </c>
      <c r="E450" t="s">
        <v>1574</v>
      </c>
      <c r="F450" t="str" cm="1">
        <f t="array" ref="F450">_xlfn.IFS(Table1[[#This Row],[Country]]="United States","US",Table1[[#This Row],[Country]]="United Kingdom","UK",TRUE,"EU")</f>
        <v>US</v>
      </c>
      <c r="G450" cm="1">
        <f t="array" ref="G45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51" spans="1:7" x14ac:dyDescent="0.2">
      <c r="A451" t="s">
        <v>914</v>
      </c>
      <c r="B451" t="s">
        <v>915</v>
      </c>
      <c r="C451" t="s">
        <v>17</v>
      </c>
      <c r="D451" t="s">
        <v>7</v>
      </c>
      <c r="E451" t="s">
        <v>1579</v>
      </c>
      <c r="F451" t="str" cm="1">
        <f t="array" ref="F451">_xlfn.IFS(Table1[[#This Row],[Country]]="United States","US",Table1[[#This Row],[Country]]="United Kingdom","UK",TRUE,"EU")</f>
        <v>EU</v>
      </c>
      <c r="G451" cm="1">
        <f t="array" ref="G45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52" spans="1:7" x14ac:dyDescent="0.2">
      <c r="A452" t="s">
        <v>916</v>
      </c>
      <c r="B452" t="s">
        <v>917</v>
      </c>
      <c r="C452" t="s">
        <v>6</v>
      </c>
      <c r="D452" t="s">
        <v>7</v>
      </c>
      <c r="E452" t="s">
        <v>1575</v>
      </c>
      <c r="F452" t="str" cm="1">
        <f t="array" ref="F452">_xlfn.IFS(Table1[[#This Row],[Country]]="United States","US",Table1[[#This Row],[Country]]="United Kingdom","UK",TRUE,"EU")</f>
        <v>UK</v>
      </c>
      <c r="G452" cm="1">
        <f t="array" ref="G45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53" spans="1:7" x14ac:dyDescent="0.2">
      <c r="A453" t="s">
        <v>918</v>
      </c>
      <c r="B453" t="s">
        <v>919</v>
      </c>
      <c r="C453" t="s">
        <v>6</v>
      </c>
      <c r="D453" t="s">
        <v>25</v>
      </c>
      <c r="E453" t="s">
        <v>1574</v>
      </c>
      <c r="F453" t="str" cm="1">
        <f t="array" ref="F453">_xlfn.IFS(Table1[[#This Row],[Country]]="United States","US",Table1[[#This Row],[Country]]="United Kingdom","UK",TRUE,"EU")</f>
        <v>US</v>
      </c>
      <c r="G453" cm="1">
        <f t="array" ref="G45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54" spans="1:7" x14ac:dyDescent="0.2">
      <c r="A454" t="s">
        <v>920</v>
      </c>
      <c r="B454" t="s">
        <v>921</v>
      </c>
      <c r="C454" t="s">
        <v>10</v>
      </c>
      <c r="D454" t="s">
        <v>11</v>
      </c>
      <c r="E454" t="s">
        <v>1574</v>
      </c>
      <c r="F454" t="str" cm="1">
        <f t="array" ref="F454">_xlfn.IFS(Table1[[#This Row],[Country]]="United States","US",Table1[[#This Row],[Country]]="United Kingdom","UK",TRUE,"EU")</f>
        <v>US</v>
      </c>
      <c r="G454" cm="1">
        <f t="array" ref="G45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455" spans="1:7" x14ac:dyDescent="0.2">
      <c r="A455" t="s">
        <v>922</v>
      </c>
      <c r="B455" t="s">
        <v>923</v>
      </c>
      <c r="C455" t="s">
        <v>6</v>
      </c>
      <c r="D455" t="s">
        <v>25</v>
      </c>
      <c r="E455" t="s">
        <v>1576</v>
      </c>
      <c r="F455" t="str" cm="1">
        <f t="array" ref="F455">_xlfn.IFS(Table1[[#This Row],[Country]]="United States","US",Table1[[#This Row],[Country]]="United Kingdom","UK",TRUE,"EU")</f>
        <v>EU</v>
      </c>
      <c r="G455" cm="1">
        <f t="array" ref="G45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56" spans="1:7" x14ac:dyDescent="0.2">
      <c r="A456" t="s">
        <v>924</v>
      </c>
      <c r="B456" t="s">
        <v>925</v>
      </c>
      <c r="C456" t="s">
        <v>10</v>
      </c>
      <c r="D456" t="s">
        <v>21</v>
      </c>
      <c r="E456" t="s">
        <v>1574</v>
      </c>
      <c r="F456" t="str" cm="1">
        <f t="array" ref="F456">_xlfn.IFS(Table1[[#This Row],[Country]]="United States","US",Table1[[#This Row],[Country]]="United Kingdom","UK",TRUE,"EU")</f>
        <v>US</v>
      </c>
      <c r="G456" cm="1">
        <f t="array" ref="G45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57" spans="1:7" x14ac:dyDescent="0.2">
      <c r="A457" t="s">
        <v>926</v>
      </c>
      <c r="B457" t="s">
        <v>927</v>
      </c>
      <c r="C457" t="s">
        <v>6</v>
      </c>
      <c r="D457" t="s">
        <v>18</v>
      </c>
      <c r="E457" t="s">
        <v>1574</v>
      </c>
      <c r="F457" t="str" cm="1">
        <f t="array" ref="F457">_xlfn.IFS(Table1[[#This Row],[Country]]="United States","US",Table1[[#This Row],[Country]]="United Kingdom","UK",TRUE,"EU")</f>
        <v>US</v>
      </c>
      <c r="G457" cm="1">
        <f t="array" ref="G45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58" spans="1:7" x14ac:dyDescent="0.2">
      <c r="A458" t="s">
        <v>928</v>
      </c>
      <c r="B458" t="s">
        <v>929</v>
      </c>
      <c r="C458" t="s">
        <v>17</v>
      </c>
      <c r="D458" t="s">
        <v>25</v>
      </c>
      <c r="E458" t="s">
        <v>1574</v>
      </c>
      <c r="F458" t="str" cm="1">
        <f t="array" ref="F458">_xlfn.IFS(Table1[[#This Row],[Country]]="United States","US",Table1[[#This Row],[Country]]="United Kingdom","UK",TRUE,"EU")</f>
        <v>US</v>
      </c>
      <c r="G458" cm="1">
        <f t="array" ref="G45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59" spans="1:7" x14ac:dyDescent="0.2">
      <c r="A459" t="s">
        <v>930</v>
      </c>
      <c r="B459" t="s">
        <v>931</v>
      </c>
      <c r="C459" t="s">
        <v>6</v>
      </c>
      <c r="D459" t="s">
        <v>25</v>
      </c>
      <c r="E459" t="s">
        <v>1575</v>
      </c>
      <c r="F459" t="str" cm="1">
        <f t="array" ref="F459">_xlfn.IFS(Table1[[#This Row],[Country]]="United States","US",Table1[[#This Row],[Country]]="United Kingdom","UK",TRUE,"EU")</f>
        <v>UK</v>
      </c>
      <c r="G459" cm="1">
        <f t="array" ref="G45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60" spans="1:7" x14ac:dyDescent="0.2">
      <c r="A460" t="s">
        <v>932</v>
      </c>
      <c r="B460" t="s">
        <v>933</v>
      </c>
      <c r="C460" t="s">
        <v>6</v>
      </c>
      <c r="D460" t="s">
        <v>18</v>
      </c>
      <c r="E460" t="s">
        <v>1574</v>
      </c>
      <c r="F460" t="str" cm="1">
        <f t="array" ref="F460">_xlfn.IFS(Table1[[#This Row],[Country]]="United States","US",Table1[[#This Row],[Country]]="United Kingdom","UK",TRUE,"EU")</f>
        <v>US</v>
      </c>
      <c r="G460" cm="1">
        <f t="array" ref="G46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61" spans="1:7" x14ac:dyDescent="0.2">
      <c r="A461" t="s">
        <v>934</v>
      </c>
      <c r="B461" t="s">
        <v>935</v>
      </c>
      <c r="C461" t="s">
        <v>17</v>
      </c>
      <c r="D461" t="s">
        <v>18</v>
      </c>
      <c r="E461" t="s">
        <v>1575</v>
      </c>
      <c r="F461" t="str" cm="1">
        <f t="array" ref="F461">_xlfn.IFS(Table1[[#This Row],[Country]]="United States","US",Table1[[#This Row],[Country]]="United Kingdom","UK",TRUE,"EU")</f>
        <v>UK</v>
      </c>
      <c r="G461" cm="1">
        <f t="array" ref="G46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62" spans="1:7" x14ac:dyDescent="0.2">
      <c r="A462" t="s">
        <v>936</v>
      </c>
      <c r="B462" t="s">
        <v>937</v>
      </c>
      <c r="C462" t="s">
        <v>6</v>
      </c>
      <c r="D462" t="s">
        <v>25</v>
      </c>
      <c r="E462" t="s">
        <v>1576</v>
      </c>
      <c r="F462" t="str" cm="1">
        <f t="array" ref="F462">_xlfn.IFS(Table1[[#This Row],[Country]]="United States","US",Table1[[#This Row],[Country]]="United Kingdom","UK",TRUE,"EU")</f>
        <v>EU</v>
      </c>
      <c r="G462" cm="1">
        <f t="array" ref="G46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63" spans="1:7" x14ac:dyDescent="0.2">
      <c r="A463" t="s">
        <v>938</v>
      </c>
      <c r="B463" t="s">
        <v>939</v>
      </c>
      <c r="C463" t="s">
        <v>17</v>
      </c>
      <c r="D463" t="s">
        <v>7</v>
      </c>
      <c r="E463" t="s">
        <v>1576</v>
      </c>
      <c r="F463" t="str" cm="1">
        <f t="array" ref="F463">_xlfn.IFS(Table1[[#This Row],[Country]]="United States","US",Table1[[#This Row],[Country]]="United Kingdom","UK",TRUE,"EU")</f>
        <v>EU</v>
      </c>
      <c r="G463" cm="1">
        <f t="array" ref="G46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64" spans="1:7" x14ac:dyDescent="0.2">
      <c r="A464" t="s">
        <v>940</v>
      </c>
      <c r="B464" t="s">
        <v>941</v>
      </c>
      <c r="C464" t="s">
        <v>17</v>
      </c>
      <c r="D464" t="s">
        <v>7</v>
      </c>
      <c r="E464" t="s">
        <v>1579</v>
      </c>
      <c r="F464" t="str" cm="1">
        <f t="array" ref="F464">_xlfn.IFS(Table1[[#This Row],[Country]]="United States","US",Table1[[#This Row],[Country]]="United Kingdom","UK",TRUE,"EU")</f>
        <v>EU</v>
      </c>
      <c r="G464" cm="1">
        <f t="array" ref="G46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65" spans="1:7" x14ac:dyDescent="0.2">
      <c r="A465" t="s">
        <v>942</v>
      </c>
      <c r="B465" t="s">
        <v>943</v>
      </c>
      <c r="C465" t="s">
        <v>6</v>
      </c>
      <c r="D465" t="s">
        <v>11</v>
      </c>
      <c r="E465" t="s">
        <v>1574</v>
      </c>
      <c r="F465" t="str" cm="1">
        <f t="array" ref="F465">_xlfn.IFS(Table1[[#This Row],[Country]]="United States","US",Table1[[#This Row],[Country]]="United Kingdom","UK",TRUE,"EU")</f>
        <v>US</v>
      </c>
      <c r="G465" cm="1">
        <f t="array" ref="G46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466" spans="1:7" x14ac:dyDescent="0.2">
      <c r="A466" t="s">
        <v>944</v>
      </c>
      <c r="B466" t="s">
        <v>945</v>
      </c>
      <c r="C466" t="s">
        <v>10</v>
      </c>
      <c r="D466" t="s">
        <v>118</v>
      </c>
      <c r="E466" t="s">
        <v>1574</v>
      </c>
      <c r="F466" t="str" cm="1">
        <f t="array" ref="F466">_xlfn.IFS(Table1[[#This Row],[Country]]="United States","US",Table1[[#This Row],[Country]]="United Kingdom","UK",TRUE,"EU")</f>
        <v>US</v>
      </c>
      <c r="G466" cm="1">
        <f t="array" ref="G46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67" spans="1:7" x14ac:dyDescent="0.2">
      <c r="A467" t="s">
        <v>946</v>
      </c>
      <c r="B467" t="s">
        <v>947</v>
      </c>
      <c r="C467" t="s">
        <v>17</v>
      </c>
      <c r="D467" t="s">
        <v>7</v>
      </c>
      <c r="E467" t="s">
        <v>1575</v>
      </c>
      <c r="F467" t="str" cm="1">
        <f t="array" ref="F467">_xlfn.IFS(Table1[[#This Row],[Country]]="United States","US",Table1[[#This Row],[Country]]="United Kingdom","UK",TRUE,"EU")</f>
        <v>UK</v>
      </c>
      <c r="G467" cm="1">
        <f t="array" ref="G46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68" spans="1:7" x14ac:dyDescent="0.2">
      <c r="A468" t="s">
        <v>948</v>
      </c>
      <c r="B468" t="s">
        <v>949</v>
      </c>
      <c r="C468" t="s">
        <v>6</v>
      </c>
      <c r="D468" t="s">
        <v>18</v>
      </c>
      <c r="E468" t="s">
        <v>1574</v>
      </c>
      <c r="F468" t="str" cm="1">
        <f t="array" ref="F468">_xlfn.IFS(Table1[[#This Row],[Country]]="United States","US",Table1[[#This Row],[Country]]="United Kingdom","UK",TRUE,"EU")</f>
        <v>US</v>
      </c>
      <c r="G468" cm="1">
        <f t="array" ref="G46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69" spans="1:7" x14ac:dyDescent="0.2">
      <c r="A469" t="s">
        <v>950</v>
      </c>
      <c r="B469" t="s">
        <v>951</v>
      </c>
      <c r="C469" t="s">
        <v>6</v>
      </c>
      <c r="D469" t="s">
        <v>7</v>
      </c>
      <c r="E469" t="s">
        <v>1574</v>
      </c>
      <c r="F469" t="str" cm="1">
        <f t="array" ref="F469">_xlfn.IFS(Table1[[#This Row],[Country]]="United States","US",Table1[[#This Row],[Country]]="United Kingdom","UK",TRUE,"EU")</f>
        <v>US</v>
      </c>
      <c r="G469" cm="1">
        <f t="array" ref="G46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70" spans="1:7" x14ac:dyDescent="0.2">
      <c r="A470" t="s">
        <v>952</v>
      </c>
      <c r="B470" t="s">
        <v>953</v>
      </c>
      <c r="C470" t="s">
        <v>17</v>
      </c>
      <c r="D470" t="s">
        <v>18</v>
      </c>
      <c r="E470" t="s">
        <v>1574</v>
      </c>
      <c r="F470" t="str" cm="1">
        <f t="array" ref="F470">_xlfn.IFS(Table1[[#This Row],[Country]]="United States","US",Table1[[#This Row],[Country]]="United Kingdom","UK",TRUE,"EU")</f>
        <v>US</v>
      </c>
      <c r="G470" cm="1">
        <f t="array" ref="G47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71" spans="1:7" x14ac:dyDescent="0.2">
      <c r="A471" t="s">
        <v>954</v>
      </c>
      <c r="B471" t="s">
        <v>955</v>
      </c>
      <c r="C471" t="s">
        <v>24</v>
      </c>
      <c r="D471" t="s">
        <v>25</v>
      </c>
      <c r="E471" t="s">
        <v>1574</v>
      </c>
      <c r="F471" t="str" cm="1">
        <f t="array" ref="F471">_xlfn.IFS(Table1[[#This Row],[Country]]="United States","US",Table1[[#This Row],[Country]]="United Kingdom","UK",TRUE,"EU")</f>
        <v>US</v>
      </c>
      <c r="G471" cm="1">
        <f t="array" ref="G47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72" spans="1:7" x14ac:dyDescent="0.2">
      <c r="A472" t="s">
        <v>956</v>
      </c>
      <c r="B472" t="s">
        <v>957</v>
      </c>
      <c r="C472" t="s">
        <v>17</v>
      </c>
      <c r="D472" t="s">
        <v>16</v>
      </c>
      <c r="E472" t="s">
        <v>1575</v>
      </c>
      <c r="F472" t="str" cm="1">
        <f t="array" ref="F472">_xlfn.IFS(Table1[[#This Row],[Country]]="United States","US",Table1[[#This Row],[Country]]="United Kingdom","UK",TRUE,"EU")</f>
        <v>UK</v>
      </c>
      <c r="G472" cm="1">
        <f t="array" ref="G47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73" spans="1:7" x14ac:dyDescent="0.2">
      <c r="A473" t="s">
        <v>958</v>
      </c>
      <c r="B473" t="s">
        <v>959</v>
      </c>
      <c r="C473" t="s">
        <v>6</v>
      </c>
      <c r="D473" t="s">
        <v>18</v>
      </c>
      <c r="E473" t="s">
        <v>1575</v>
      </c>
      <c r="F473" t="str" cm="1">
        <f t="array" ref="F473">_xlfn.IFS(Table1[[#This Row],[Country]]="United States","US",Table1[[#This Row],[Country]]="United Kingdom","UK",TRUE,"EU")</f>
        <v>UK</v>
      </c>
      <c r="G473" cm="1">
        <f t="array" ref="G47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74" spans="1:7" x14ac:dyDescent="0.2">
      <c r="A474" t="s">
        <v>960</v>
      </c>
      <c r="B474" t="s">
        <v>961</v>
      </c>
      <c r="C474" t="s">
        <v>17</v>
      </c>
      <c r="D474" t="s">
        <v>21</v>
      </c>
      <c r="E474" t="s">
        <v>1575</v>
      </c>
      <c r="F474" t="str" cm="1">
        <f t="array" ref="F474">_xlfn.IFS(Table1[[#This Row],[Country]]="United States","US",Table1[[#This Row],[Country]]="United Kingdom","UK",TRUE,"EU")</f>
        <v>UK</v>
      </c>
      <c r="G474" cm="1">
        <f t="array" ref="G47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75" spans="1:7" x14ac:dyDescent="0.2">
      <c r="A475" t="s">
        <v>962</v>
      </c>
      <c r="B475" t="s">
        <v>963</v>
      </c>
      <c r="C475" t="s">
        <v>6</v>
      </c>
      <c r="D475" t="s">
        <v>25</v>
      </c>
      <c r="E475" t="s">
        <v>1574</v>
      </c>
      <c r="F475" t="str" cm="1">
        <f t="array" ref="F475">_xlfn.IFS(Table1[[#This Row],[Country]]="United States","US",Table1[[#This Row],[Country]]="United Kingdom","UK",TRUE,"EU")</f>
        <v>US</v>
      </c>
      <c r="G475" cm="1">
        <f t="array" ref="G47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76" spans="1:7" x14ac:dyDescent="0.2">
      <c r="A476" t="s">
        <v>964</v>
      </c>
      <c r="B476" t="s">
        <v>965</v>
      </c>
      <c r="C476" t="s">
        <v>6</v>
      </c>
      <c r="D476" t="s">
        <v>21</v>
      </c>
      <c r="E476" t="s">
        <v>1574</v>
      </c>
      <c r="F476" t="str" cm="1">
        <f t="array" ref="F476">_xlfn.IFS(Table1[[#This Row],[Country]]="United States","US",Table1[[#This Row],[Country]]="United Kingdom","UK",TRUE,"EU")</f>
        <v>US</v>
      </c>
      <c r="G476" cm="1">
        <f t="array" ref="G47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77" spans="1:7" x14ac:dyDescent="0.2">
      <c r="A477" t="s">
        <v>966</v>
      </c>
      <c r="B477" t="s">
        <v>967</v>
      </c>
      <c r="C477" t="s">
        <v>6</v>
      </c>
      <c r="D477" t="s">
        <v>18</v>
      </c>
      <c r="E477" t="s">
        <v>1574</v>
      </c>
      <c r="F477" t="str" cm="1">
        <f t="array" ref="F477">_xlfn.IFS(Table1[[#This Row],[Country]]="United States","US",Table1[[#This Row],[Country]]="United Kingdom","UK",TRUE,"EU")</f>
        <v>US</v>
      </c>
      <c r="G477" cm="1">
        <f t="array" ref="G47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78" spans="1:7" x14ac:dyDescent="0.2">
      <c r="A478" t="s">
        <v>968</v>
      </c>
      <c r="B478" t="s">
        <v>969</v>
      </c>
      <c r="C478" t="s">
        <v>17</v>
      </c>
      <c r="D478" t="s">
        <v>7</v>
      </c>
      <c r="E478" t="s">
        <v>1579</v>
      </c>
      <c r="F478" t="str" cm="1">
        <f t="array" ref="F478">_xlfn.IFS(Table1[[#This Row],[Country]]="United States","US",Table1[[#This Row],[Country]]="United Kingdom","UK",TRUE,"EU")</f>
        <v>EU</v>
      </c>
      <c r="G478" cm="1">
        <f t="array" ref="G47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79" spans="1:7" x14ac:dyDescent="0.2">
      <c r="A479" t="s">
        <v>970</v>
      </c>
      <c r="B479" t="s">
        <v>971</v>
      </c>
      <c r="C479" t="s">
        <v>24</v>
      </c>
      <c r="D479" t="s">
        <v>25</v>
      </c>
      <c r="E479" t="s">
        <v>1574</v>
      </c>
      <c r="F479" t="str" cm="1">
        <f t="array" ref="F479">_xlfn.IFS(Table1[[#This Row],[Country]]="United States","US",Table1[[#This Row],[Country]]="United Kingdom","UK",TRUE,"EU")</f>
        <v>US</v>
      </c>
      <c r="G479" cm="1">
        <f t="array" ref="G47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80" spans="1:7" x14ac:dyDescent="0.2">
      <c r="A480" t="s">
        <v>972</v>
      </c>
      <c r="B480" t="s">
        <v>973</v>
      </c>
      <c r="C480" t="s">
        <v>6</v>
      </c>
      <c r="D480" t="s">
        <v>18</v>
      </c>
      <c r="E480" t="s">
        <v>1574</v>
      </c>
      <c r="F480" t="str" cm="1">
        <f t="array" ref="F480">_xlfn.IFS(Table1[[#This Row],[Country]]="United States","US",Table1[[#This Row],[Country]]="United Kingdom","UK",TRUE,"EU")</f>
        <v>US</v>
      </c>
      <c r="G480" cm="1">
        <f t="array" ref="G48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81" spans="1:7" x14ac:dyDescent="0.2">
      <c r="A481" t="s">
        <v>974</v>
      </c>
      <c r="B481" t="s">
        <v>975</v>
      </c>
      <c r="C481" t="s">
        <v>53</v>
      </c>
      <c r="D481" t="s">
        <v>11</v>
      </c>
      <c r="E481" t="s">
        <v>1574</v>
      </c>
      <c r="F481" t="str" cm="1">
        <f t="array" ref="F481">_xlfn.IFS(Table1[[#This Row],[Country]]="United States","US",Table1[[#This Row],[Country]]="United Kingdom","UK",TRUE,"EU")</f>
        <v>US</v>
      </c>
      <c r="G481" cm="1">
        <f t="array" ref="G48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482" spans="1:7" x14ac:dyDescent="0.2">
      <c r="A482" t="s">
        <v>976</v>
      </c>
      <c r="B482" t="s">
        <v>977</v>
      </c>
      <c r="C482" t="s">
        <v>24</v>
      </c>
      <c r="D482" t="s">
        <v>11</v>
      </c>
      <c r="E482" t="s">
        <v>1574</v>
      </c>
      <c r="F482" t="str" cm="1">
        <f t="array" ref="F482">_xlfn.IFS(Table1[[#This Row],[Country]]="United States","US",Table1[[#This Row],[Country]]="United Kingdom","UK",TRUE,"EU")</f>
        <v>US</v>
      </c>
      <c r="G482" cm="1">
        <f t="array" ref="G48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483" spans="1:7" x14ac:dyDescent="0.2">
      <c r="A483" t="s">
        <v>978</v>
      </c>
      <c r="B483" t="s">
        <v>979</v>
      </c>
      <c r="C483" t="s">
        <v>6</v>
      </c>
      <c r="D483" t="s">
        <v>21</v>
      </c>
      <c r="E483" t="s">
        <v>1574</v>
      </c>
      <c r="F483" t="str" cm="1">
        <f t="array" ref="F483">_xlfn.IFS(Table1[[#This Row],[Country]]="United States","US",Table1[[#This Row],[Country]]="United Kingdom","UK",TRUE,"EU")</f>
        <v>US</v>
      </c>
      <c r="G483" cm="1">
        <f t="array" ref="G48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84" spans="1:7" x14ac:dyDescent="0.2">
      <c r="A484" t="s">
        <v>980</v>
      </c>
      <c r="B484" t="s">
        <v>1580</v>
      </c>
      <c r="C484" t="s">
        <v>53</v>
      </c>
      <c r="D484" t="s">
        <v>1581</v>
      </c>
      <c r="E484" t="s">
        <v>1582</v>
      </c>
      <c r="F484" t="str" cm="1">
        <f t="array" ref="F484">_xlfn.IFS(Table1[[#This Row],[Country]]="United States","US",Table1[[#This Row],[Country]]="United Kingdom","UK",TRUE,"EU")</f>
        <v>EU</v>
      </c>
      <c r="G484" t="str" cm="1">
        <f t="array" ref="G48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n.a.</v>
      </c>
    </row>
    <row r="485" spans="1:7" x14ac:dyDescent="0.2">
      <c r="A485" t="s">
        <v>981</v>
      </c>
      <c r="B485" t="s">
        <v>1583</v>
      </c>
      <c r="C485" t="s">
        <v>53</v>
      </c>
      <c r="D485" t="s">
        <v>33</v>
      </c>
      <c r="E485" t="s">
        <v>1584</v>
      </c>
      <c r="F485" t="str" cm="1">
        <f t="array" ref="F485">_xlfn.IFS(Table1[[#This Row],[Country]]="United States","US",Table1[[#This Row],[Country]]="United Kingdom","UK",TRUE,"EU")</f>
        <v>EU</v>
      </c>
      <c r="G485" cm="1">
        <f t="array" ref="G48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486" spans="1:7" x14ac:dyDescent="0.2">
      <c r="A486" t="s">
        <v>982</v>
      </c>
      <c r="B486" t="s">
        <v>1585</v>
      </c>
      <c r="C486" t="s">
        <v>53</v>
      </c>
      <c r="D486" t="s">
        <v>42</v>
      </c>
      <c r="E486" t="s">
        <v>1586</v>
      </c>
      <c r="F486" t="str" cm="1">
        <f t="array" ref="F486">_xlfn.IFS(Table1[[#This Row],[Country]]="United States","US",Table1[[#This Row],[Country]]="United Kingdom","UK",TRUE,"EU")</f>
        <v>EU</v>
      </c>
      <c r="G486" cm="1">
        <f t="array" ref="G48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87" spans="1:7" x14ac:dyDescent="0.2">
      <c r="A487" t="s">
        <v>983</v>
      </c>
      <c r="B487" t="s">
        <v>1587</v>
      </c>
      <c r="C487" t="s">
        <v>53</v>
      </c>
      <c r="D487" t="s">
        <v>25</v>
      </c>
      <c r="E487" t="s">
        <v>1588</v>
      </c>
      <c r="F487" t="str" cm="1">
        <f t="array" ref="F487">_xlfn.IFS(Table1[[#This Row],[Country]]="United States","US",Table1[[#This Row],[Country]]="United Kingdom","UK",TRUE,"EU")</f>
        <v>EU</v>
      </c>
      <c r="G487" cm="1">
        <f t="array" ref="G48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88" spans="1:7" x14ac:dyDescent="0.2">
      <c r="A488" t="s">
        <v>984</v>
      </c>
      <c r="B488" t="s">
        <v>1589</v>
      </c>
      <c r="C488" t="s">
        <v>53</v>
      </c>
      <c r="D488" t="s">
        <v>25</v>
      </c>
      <c r="E488" t="s">
        <v>1582</v>
      </c>
      <c r="F488" t="str" cm="1">
        <f t="array" ref="F488">_xlfn.IFS(Table1[[#This Row],[Country]]="United States","US",Table1[[#This Row],[Country]]="United Kingdom","UK",TRUE,"EU")</f>
        <v>EU</v>
      </c>
      <c r="G488" cm="1">
        <f t="array" ref="G48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89" spans="1:7" x14ac:dyDescent="0.2">
      <c r="A489" t="s">
        <v>985</v>
      </c>
      <c r="B489" t="s">
        <v>1590</v>
      </c>
      <c r="C489" t="s">
        <v>53</v>
      </c>
      <c r="D489" t="s">
        <v>42</v>
      </c>
      <c r="E489" t="s">
        <v>1582</v>
      </c>
      <c r="F489" t="str" cm="1">
        <f t="array" ref="F489">_xlfn.IFS(Table1[[#This Row],[Country]]="United States","US",Table1[[#This Row],[Country]]="United Kingdom","UK",TRUE,"EU")</f>
        <v>EU</v>
      </c>
      <c r="G489" cm="1">
        <f t="array" ref="G48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90" spans="1:7" x14ac:dyDescent="0.2">
      <c r="A490" t="s">
        <v>986</v>
      </c>
      <c r="B490" t="s">
        <v>1591</v>
      </c>
      <c r="C490" t="s">
        <v>53</v>
      </c>
      <c r="D490" t="s">
        <v>25</v>
      </c>
      <c r="E490" t="s">
        <v>1582</v>
      </c>
      <c r="F490" t="str" cm="1">
        <f t="array" ref="F490">_xlfn.IFS(Table1[[#This Row],[Country]]="United States","US",Table1[[#This Row],[Country]]="United Kingdom","UK",TRUE,"EU")</f>
        <v>EU</v>
      </c>
      <c r="G490" cm="1">
        <f t="array" ref="G49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91" spans="1:7" x14ac:dyDescent="0.2">
      <c r="A491" t="s">
        <v>987</v>
      </c>
      <c r="B491" t="s">
        <v>1592</v>
      </c>
      <c r="C491" t="s">
        <v>53</v>
      </c>
      <c r="D491" t="s">
        <v>25</v>
      </c>
      <c r="E491" t="s">
        <v>1588</v>
      </c>
      <c r="F491" t="str" cm="1">
        <f t="array" ref="F491">_xlfn.IFS(Table1[[#This Row],[Country]]="United States","US",Table1[[#This Row],[Country]]="United Kingdom","UK",TRUE,"EU")</f>
        <v>EU</v>
      </c>
      <c r="G491" cm="1">
        <f t="array" ref="G49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92" spans="1:7" x14ac:dyDescent="0.2">
      <c r="A492" t="s">
        <v>988</v>
      </c>
      <c r="B492" t="s">
        <v>1593</v>
      </c>
      <c r="C492" t="s">
        <v>53</v>
      </c>
      <c r="D492" t="s">
        <v>16</v>
      </c>
      <c r="E492" t="s">
        <v>1588</v>
      </c>
      <c r="F492" t="str" cm="1">
        <f t="array" ref="F492">_xlfn.IFS(Table1[[#This Row],[Country]]="United States","US",Table1[[#This Row],[Country]]="United Kingdom","UK",TRUE,"EU")</f>
        <v>EU</v>
      </c>
      <c r="G492" cm="1">
        <f t="array" ref="G49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493" spans="1:7" x14ac:dyDescent="0.2">
      <c r="A493" t="s">
        <v>989</v>
      </c>
      <c r="B493" t="s">
        <v>1594</v>
      </c>
      <c r="C493" t="s">
        <v>53</v>
      </c>
      <c r="D493" t="s">
        <v>33</v>
      </c>
      <c r="E493" t="s">
        <v>1582</v>
      </c>
      <c r="F493" t="str" cm="1">
        <f t="array" ref="F493">_xlfn.IFS(Table1[[#This Row],[Country]]="United States","US",Table1[[#This Row],[Country]]="United Kingdom","UK",TRUE,"EU")</f>
        <v>EU</v>
      </c>
      <c r="G493" cm="1">
        <f t="array" ref="G49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494" spans="1:7" x14ac:dyDescent="0.2">
      <c r="A494" t="s">
        <v>990</v>
      </c>
      <c r="B494" t="s">
        <v>1595</v>
      </c>
      <c r="C494" t="s">
        <v>53</v>
      </c>
      <c r="D494" t="s">
        <v>33</v>
      </c>
      <c r="E494" t="s">
        <v>1582</v>
      </c>
      <c r="F494" t="str" cm="1">
        <f t="array" ref="F494">_xlfn.IFS(Table1[[#This Row],[Country]]="United States","US",Table1[[#This Row],[Country]]="United Kingdom","UK",TRUE,"EU")</f>
        <v>EU</v>
      </c>
      <c r="G494" cm="1">
        <f t="array" ref="G49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495" spans="1:7" x14ac:dyDescent="0.2">
      <c r="A495" t="s">
        <v>991</v>
      </c>
      <c r="B495" t="s">
        <v>1596</v>
      </c>
      <c r="C495" t="s">
        <v>53</v>
      </c>
      <c r="D495" t="s">
        <v>25</v>
      </c>
      <c r="E495" t="s">
        <v>1588</v>
      </c>
      <c r="F495" t="str" cm="1">
        <f t="array" ref="F495">_xlfn.IFS(Table1[[#This Row],[Country]]="United States","US",Table1[[#This Row],[Country]]="United Kingdom","UK",TRUE,"EU")</f>
        <v>EU</v>
      </c>
      <c r="G495" cm="1">
        <f t="array" ref="G49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96" spans="1:7" x14ac:dyDescent="0.2">
      <c r="A496" t="s">
        <v>992</v>
      </c>
      <c r="B496" t="s">
        <v>1597</v>
      </c>
      <c r="C496" t="s">
        <v>53</v>
      </c>
      <c r="D496" t="s">
        <v>25</v>
      </c>
      <c r="E496" t="s">
        <v>1582</v>
      </c>
      <c r="F496" t="str" cm="1">
        <f t="array" ref="F496">_xlfn.IFS(Table1[[#This Row],[Country]]="United States","US",Table1[[#This Row],[Country]]="United Kingdom","UK",TRUE,"EU")</f>
        <v>EU</v>
      </c>
      <c r="G496" cm="1">
        <f t="array" ref="G49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97" spans="1:7" x14ac:dyDescent="0.2">
      <c r="A497" t="s">
        <v>993</v>
      </c>
      <c r="B497" t="s">
        <v>1598</v>
      </c>
      <c r="C497" t="s">
        <v>53</v>
      </c>
      <c r="D497" t="s">
        <v>25</v>
      </c>
      <c r="E497" t="s">
        <v>1599</v>
      </c>
      <c r="F497" t="str" cm="1">
        <f t="array" ref="F497">_xlfn.IFS(Table1[[#This Row],[Country]]="United States","US",Table1[[#This Row],[Country]]="United Kingdom","UK",TRUE,"EU")</f>
        <v>EU</v>
      </c>
      <c r="G497" cm="1">
        <f t="array" ref="G49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98" spans="1:7" x14ac:dyDescent="0.2">
      <c r="A498" t="s">
        <v>994</v>
      </c>
      <c r="B498" t="s">
        <v>1600</v>
      </c>
      <c r="C498" t="s">
        <v>53</v>
      </c>
      <c r="D498" t="s">
        <v>25</v>
      </c>
      <c r="E498" t="s">
        <v>1601</v>
      </c>
      <c r="F498" t="str" cm="1">
        <f t="array" ref="F498">_xlfn.IFS(Table1[[#This Row],[Country]]="United States","US",Table1[[#This Row],[Country]]="United Kingdom","UK",TRUE,"EU")</f>
        <v>EU</v>
      </c>
      <c r="G498" cm="1">
        <f t="array" ref="G49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499" spans="1:7" x14ac:dyDescent="0.2">
      <c r="A499" t="s">
        <v>995</v>
      </c>
      <c r="B499" t="s">
        <v>1602</v>
      </c>
      <c r="C499" t="s">
        <v>53</v>
      </c>
      <c r="D499" t="s">
        <v>7</v>
      </c>
      <c r="E499" t="s">
        <v>1584</v>
      </c>
      <c r="F499" t="str" cm="1">
        <f t="array" ref="F499">_xlfn.IFS(Table1[[#This Row],[Country]]="United States","US",Table1[[#This Row],[Country]]="United Kingdom","UK",TRUE,"EU")</f>
        <v>EU</v>
      </c>
      <c r="G499" cm="1">
        <f t="array" ref="G49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00" spans="1:7" x14ac:dyDescent="0.2">
      <c r="A500" t="s">
        <v>996</v>
      </c>
      <c r="B500" t="s">
        <v>1603</v>
      </c>
      <c r="C500" t="s">
        <v>53</v>
      </c>
      <c r="D500" t="s">
        <v>42</v>
      </c>
      <c r="E500" t="s">
        <v>1586</v>
      </c>
      <c r="F500" t="str" cm="1">
        <f t="array" ref="F500">_xlfn.IFS(Table1[[#This Row],[Country]]="United States","US",Table1[[#This Row],[Country]]="United Kingdom","UK",TRUE,"EU")</f>
        <v>EU</v>
      </c>
      <c r="G500" cm="1">
        <f t="array" ref="G50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01" spans="1:7" x14ac:dyDescent="0.2">
      <c r="A501" t="s">
        <v>997</v>
      </c>
      <c r="B501" t="s">
        <v>1604</v>
      </c>
      <c r="C501" t="s">
        <v>53</v>
      </c>
      <c r="D501" t="s">
        <v>25</v>
      </c>
      <c r="E501" t="s">
        <v>1588</v>
      </c>
      <c r="F501" t="str" cm="1">
        <f t="array" ref="F501">_xlfn.IFS(Table1[[#This Row],[Country]]="United States","US",Table1[[#This Row],[Country]]="United Kingdom","UK",TRUE,"EU")</f>
        <v>EU</v>
      </c>
      <c r="G501" cm="1">
        <f t="array" ref="G50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502" spans="1:7" x14ac:dyDescent="0.2">
      <c r="A502" t="s">
        <v>998</v>
      </c>
      <c r="B502" t="s">
        <v>1605</v>
      </c>
      <c r="C502" t="s">
        <v>53</v>
      </c>
      <c r="D502" t="s">
        <v>7</v>
      </c>
      <c r="E502" t="s">
        <v>1582</v>
      </c>
      <c r="F502" t="str" cm="1">
        <f t="array" ref="F502">_xlfn.IFS(Table1[[#This Row],[Country]]="United States","US",Table1[[#This Row],[Country]]="United Kingdom","UK",TRUE,"EU")</f>
        <v>EU</v>
      </c>
      <c r="G502" cm="1">
        <f t="array" ref="G50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03" spans="1:7" x14ac:dyDescent="0.2">
      <c r="A503" t="s">
        <v>999</v>
      </c>
      <c r="B503" t="s">
        <v>1606</v>
      </c>
      <c r="C503" t="s">
        <v>53</v>
      </c>
      <c r="D503" t="s">
        <v>118</v>
      </c>
      <c r="E503" t="s">
        <v>1588</v>
      </c>
      <c r="F503" t="str" cm="1">
        <f t="array" ref="F503">_xlfn.IFS(Table1[[#This Row],[Country]]="United States","US",Table1[[#This Row],[Country]]="United Kingdom","UK",TRUE,"EU")</f>
        <v>EU</v>
      </c>
      <c r="G503" cm="1">
        <f t="array" ref="G50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04" spans="1:7" x14ac:dyDescent="0.2">
      <c r="A504" t="s">
        <v>1000</v>
      </c>
      <c r="B504" t="s">
        <v>1607</v>
      </c>
      <c r="C504" t="s">
        <v>53</v>
      </c>
      <c r="D504" t="s">
        <v>7</v>
      </c>
      <c r="E504" t="s">
        <v>1586</v>
      </c>
      <c r="F504" t="str" cm="1">
        <f t="array" ref="F504">_xlfn.IFS(Table1[[#This Row],[Country]]="United States","US",Table1[[#This Row],[Country]]="United Kingdom","UK",TRUE,"EU")</f>
        <v>EU</v>
      </c>
      <c r="G504" cm="1">
        <f t="array" ref="G50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05" spans="1:7" x14ac:dyDescent="0.2">
      <c r="A505" t="s">
        <v>1001</v>
      </c>
      <c r="B505" t="s">
        <v>1608</v>
      </c>
      <c r="C505" t="s">
        <v>53</v>
      </c>
      <c r="D505" t="s">
        <v>118</v>
      </c>
      <c r="E505" t="s">
        <v>1601</v>
      </c>
      <c r="F505" t="str" cm="1">
        <f t="array" ref="F505">_xlfn.IFS(Table1[[#This Row],[Country]]="United States","US",Table1[[#This Row],[Country]]="United Kingdom","UK",TRUE,"EU")</f>
        <v>EU</v>
      </c>
      <c r="G505" cm="1">
        <f t="array" ref="G50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06" spans="1:7" x14ac:dyDescent="0.2">
      <c r="A506" t="s">
        <v>1002</v>
      </c>
      <c r="B506" t="s">
        <v>1609</v>
      </c>
      <c r="C506" t="s">
        <v>53</v>
      </c>
      <c r="D506" t="s">
        <v>33</v>
      </c>
      <c r="E506" t="s">
        <v>1588</v>
      </c>
      <c r="F506" t="str" cm="1">
        <f t="array" ref="F506">_xlfn.IFS(Table1[[#This Row],[Country]]="United States","US",Table1[[#This Row],[Country]]="United Kingdom","UK",TRUE,"EU")</f>
        <v>EU</v>
      </c>
      <c r="G506" cm="1">
        <f t="array" ref="G50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07" spans="1:7" x14ac:dyDescent="0.2">
      <c r="A507" t="s">
        <v>1003</v>
      </c>
      <c r="B507" t="s">
        <v>1610</v>
      </c>
      <c r="C507" t="s">
        <v>53</v>
      </c>
      <c r="D507" t="s">
        <v>25</v>
      </c>
      <c r="E507" t="s">
        <v>1588</v>
      </c>
      <c r="F507" t="str" cm="1">
        <f t="array" ref="F507">_xlfn.IFS(Table1[[#This Row],[Country]]="United States","US",Table1[[#This Row],[Country]]="United Kingdom","UK",TRUE,"EU")</f>
        <v>EU</v>
      </c>
      <c r="G507" cm="1">
        <f t="array" ref="G50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508" spans="1:7" x14ac:dyDescent="0.2">
      <c r="A508" t="s">
        <v>1004</v>
      </c>
      <c r="B508" t="s">
        <v>1611</v>
      </c>
      <c r="C508" t="s">
        <v>53</v>
      </c>
      <c r="D508" t="s">
        <v>7</v>
      </c>
      <c r="E508" t="s">
        <v>1586</v>
      </c>
      <c r="F508" t="str" cm="1">
        <f t="array" ref="F508">_xlfn.IFS(Table1[[#This Row],[Country]]="United States","US",Table1[[#This Row],[Country]]="United Kingdom","UK",TRUE,"EU")</f>
        <v>EU</v>
      </c>
      <c r="G508" cm="1">
        <f t="array" ref="G50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09" spans="1:7" x14ac:dyDescent="0.2">
      <c r="A509" t="s">
        <v>1005</v>
      </c>
      <c r="B509" t="s">
        <v>1612</v>
      </c>
      <c r="C509" t="s">
        <v>53</v>
      </c>
      <c r="D509" t="s">
        <v>33</v>
      </c>
      <c r="E509" t="s">
        <v>1584</v>
      </c>
      <c r="F509" t="str" cm="1">
        <f t="array" ref="F509">_xlfn.IFS(Table1[[#This Row],[Country]]="United States","US",Table1[[#This Row],[Country]]="United Kingdom","UK",TRUE,"EU")</f>
        <v>EU</v>
      </c>
      <c r="G509" cm="1">
        <f t="array" ref="G50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10" spans="1:7" x14ac:dyDescent="0.2">
      <c r="A510" t="s">
        <v>1006</v>
      </c>
      <c r="B510" t="s">
        <v>1613</v>
      </c>
      <c r="C510" t="s">
        <v>53</v>
      </c>
      <c r="D510" t="s">
        <v>11</v>
      </c>
      <c r="E510" t="s">
        <v>1601</v>
      </c>
      <c r="F510" t="str" cm="1">
        <f t="array" ref="F510">_xlfn.IFS(Table1[[#This Row],[Country]]="United States","US",Table1[[#This Row],[Country]]="United Kingdom","UK",TRUE,"EU")</f>
        <v>EU</v>
      </c>
      <c r="G510" cm="1">
        <f t="array" ref="G51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11" spans="1:7" x14ac:dyDescent="0.2">
      <c r="A511" t="s">
        <v>1007</v>
      </c>
      <c r="B511" t="s">
        <v>1614</v>
      </c>
      <c r="C511" t="s">
        <v>53</v>
      </c>
      <c r="D511" t="s">
        <v>25</v>
      </c>
      <c r="E511" t="s">
        <v>1588</v>
      </c>
      <c r="F511" t="str" cm="1">
        <f t="array" ref="F511">_xlfn.IFS(Table1[[#This Row],[Country]]="United States","US",Table1[[#This Row],[Country]]="United Kingdom","UK",TRUE,"EU")</f>
        <v>EU</v>
      </c>
      <c r="G511" cm="1">
        <f t="array" ref="G51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512" spans="1:7" x14ac:dyDescent="0.2">
      <c r="A512" t="s">
        <v>1008</v>
      </c>
      <c r="B512" t="s">
        <v>1615</v>
      </c>
      <c r="C512" t="s">
        <v>53</v>
      </c>
      <c r="D512" t="s">
        <v>25</v>
      </c>
      <c r="E512" t="s">
        <v>1588</v>
      </c>
      <c r="F512" t="str" cm="1">
        <f t="array" ref="F512">_xlfn.IFS(Table1[[#This Row],[Country]]="United States","US",Table1[[#This Row],[Country]]="United Kingdom","UK",TRUE,"EU")</f>
        <v>EU</v>
      </c>
      <c r="G512" cm="1">
        <f t="array" ref="G51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513" spans="1:7" x14ac:dyDescent="0.2">
      <c r="A513" t="s">
        <v>1009</v>
      </c>
      <c r="B513" t="s">
        <v>1609</v>
      </c>
      <c r="C513" t="s">
        <v>53</v>
      </c>
      <c r="D513" t="s">
        <v>33</v>
      </c>
      <c r="E513" t="s">
        <v>1588</v>
      </c>
      <c r="F513" t="str" cm="1">
        <f t="array" ref="F513">_xlfn.IFS(Table1[[#This Row],[Country]]="United States","US",Table1[[#This Row],[Country]]="United Kingdom","UK",TRUE,"EU")</f>
        <v>EU</v>
      </c>
      <c r="G513" cm="1">
        <f t="array" ref="G51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14" spans="1:7" x14ac:dyDescent="0.2">
      <c r="A514" t="s">
        <v>1010</v>
      </c>
      <c r="B514" t="s">
        <v>1616</v>
      </c>
      <c r="C514" t="s">
        <v>53</v>
      </c>
      <c r="D514" t="s">
        <v>7</v>
      </c>
      <c r="E514" t="s">
        <v>1584</v>
      </c>
      <c r="F514" t="str" cm="1">
        <f t="array" ref="F514">_xlfn.IFS(Table1[[#This Row],[Country]]="United States","US",Table1[[#This Row],[Country]]="United Kingdom","UK",TRUE,"EU")</f>
        <v>EU</v>
      </c>
      <c r="G514" cm="1">
        <f t="array" ref="G51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15" spans="1:7" x14ac:dyDescent="0.2">
      <c r="A515" t="s">
        <v>1011</v>
      </c>
      <c r="B515" t="s">
        <v>1617</v>
      </c>
      <c r="C515" t="s">
        <v>53</v>
      </c>
      <c r="D515" t="s">
        <v>7</v>
      </c>
      <c r="E515" t="s">
        <v>1601</v>
      </c>
      <c r="F515" t="str" cm="1">
        <f t="array" ref="F515">_xlfn.IFS(Table1[[#This Row],[Country]]="United States","US",Table1[[#This Row],[Country]]="United Kingdom","UK",TRUE,"EU")</f>
        <v>EU</v>
      </c>
      <c r="G515" cm="1">
        <f t="array" ref="G51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16" spans="1:7" x14ac:dyDescent="0.2">
      <c r="A516" t="s">
        <v>1012</v>
      </c>
      <c r="B516" t="s">
        <v>1618</v>
      </c>
      <c r="C516" t="s">
        <v>53</v>
      </c>
      <c r="D516" t="s">
        <v>42</v>
      </c>
      <c r="E516" t="s">
        <v>1619</v>
      </c>
      <c r="F516" t="str" cm="1">
        <f t="array" ref="F516">_xlfn.IFS(Table1[[#This Row],[Country]]="United States","US",Table1[[#This Row],[Country]]="United Kingdom","UK",TRUE,"EU")</f>
        <v>EU</v>
      </c>
      <c r="G516" cm="1">
        <f t="array" ref="G51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17" spans="1:7" x14ac:dyDescent="0.2">
      <c r="A517" t="s">
        <v>1013</v>
      </c>
      <c r="B517" t="s">
        <v>1620</v>
      </c>
      <c r="C517" t="s">
        <v>53</v>
      </c>
      <c r="D517" t="s">
        <v>18</v>
      </c>
      <c r="E517" t="s">
        <v>1621</v>
      </c>
      <c r="F517" t="str" cm="1">
        <f t="array" ref="F517">_xlfn.IFS(Table1[[#This Row],[Country]]="United States","US",Table1[[#This Row],[Country]]="United Kingdom","UK",TRUE,"EU")</f>
        <v>EU</v>
      </c>
      <c r="G517" cm="1">
        <f t="array" ref="G51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18" spans="1:7" x14ac:dyDescent="0.2">
      <c r="A518" t="s">
        <v>1014</v>
      </c>
      <c r="B518" t="s">
        <v>1622</v>
      </c>
      <c r="C518" t="s">
        <v>53</v>
      </c>
      <c r="D518" t="s">
        <v>118</v>
      </c>
      <c r="E518" t="s">
        <v>1588</v>
      </c>
      <c r="F518" t="str" cm="1">
        <f t="array" ref="F518">_xlfn.IFS(Table1[[#This Row],[Country]]="United States","US",Table1[[#This Row],[Country]]="United Kingdom","UK",TRUE,"EU")</f>
        <v>EU</v>
      </c>
      <c r="G518" cm="1">
        <f t="array" ref="G51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19" spans="1:7" x14ac:dyDescent="0.2">
      <c r="A519" t="s">
        <v>1015</v>
      </c>
      <c r="B519" t="s">
        <v>1623</v>
      </c>
      <c r="C519" t="s">
        <v>53</v>
      </c>
      <c r="D519" t="s">
        <v>33</v>
      </c>
      <c r="E519" t="s">
        <v>1582</v>
      </c>
      <c r="F519" t="str" cm="1">
        <f t="array" ref="F519">_xlfn.IFS(Table1[[#This Row],[Country]]="United States","US",Table1[[#This Row],[Country]]="United Kingdom","UK",TRUE,"EU")</f>
        <v>EU</v>
      </c>
      <c r="G519" cm="1">
        <f t="array" ref="G51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20" spans="1:7" x14ac:dyDescent="0.2">
      <c r="A520" t="s">
        <v>1016</v>
      </c>
      <c r="B520" t="s">
        <v>1624</v>
      </c>
      <c r="C520" t="s">
        <v>53</v>
      </c>
      <c r="D520" t="s">
        <v>42</v>
      </c>
      <c r="E520" t="s">
        <v>1586</v>
      </c>
      <c r="F520" t="str" cm="1">
        <f t="array" ref="F520">_xlfn.IFS(Table1[[#This Row],[Country]]="United States","US",Table1[[#This Row],[Country]]="United Kingdom","UK",TRUE,"EU")</f>
        <v>EU</v>
      </c>
      <c r="G520" cm="1">
        <f t="array" ref="G52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21" spans="1:7" x14ac:dyDescent="0.2">
      <c r="A521" t="s">
        <v>1017</v>
      </c>
      <c r="B521" t="s">
        <v>1625</v>
      </c>
      <c r="C521" t="s">
        <v>53</v>
      </c>
      <c r="D521" t="s">
        <v>7</v>
      </c>
      <c r="E521" t="s">
        <v>1626</v>
      </c>
      <c r="F521" t="str" cm="1">
        <f t="array" ref="F521">_xlfn.IFS(Table1[[#This Row],[Country]]="United States","US",Table1[[#This Row],[Country]]="United Kingdom","UK",TRUE,"EU")</f>
        <v>EU</v>
      </c>
      <c r="G521" cm="1">
        <f t="array" ref="G52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22" spans="1:7" x14ac:dyDescent="0.2">
      <c r="A522" t="s">
        <v>1018</v>
      </c>
      <c r="B522" t="s">
        <v>1627</v>
      </c>
      <c r="C522" t="s">
        <v>53</v>
      </c>
      <c r="D522" t="s">
        <v>7</v>
      </c>
      <c r="E522" t="s">
        <v>1601</v>
      </c>
      <c r="F522" t="str" cm="1">
        <f t="array" ref="F522">_xlfn.IFS(Table1[[#This Row],[Country]]="United States","US",Table1[[#This Row],[Country]]="United Kingdom","UK",TRUE,"EU")</f>
        <v>EU</v>
      </c>
      <c r="G522" cm="1">
        <f t="array" ref="G52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23" spans="1:7" x14ac:dyDescent="0.2">
      <c r="A523" t="s">
        <v>1019</v>
      </c>
      <c r="B523" t="s">
        <v>1628</v>
      </c>
      <c r="C523" t="s">
        <v>53</v>
      </c>
      <c r="D523" t="s">
        <v>7</v>
      </c>
      <c r="E523" t="s">
        <v>1584</v>
      </c>
      <c r="F523" t="str" cm="1">
        <f t="array" ref="F523">_xlfn.IFS(Table1[[#This Row],[Country]]="United States","US",Table1[[#This Row],[Country]]="United Kingdom","UK",TRUE,"EU")</f>
        <v>EU</v>
      </c>
      <c r="G523" cm="1">
        <f t="array" ref="G52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24" spans="1:7" x14ac:dyDescent="0.2">
      <c r="A524" t="s">
        <v>1020</v>
      </c>
      <c r="B524" t="s">
        <v>1629</v>
      </c>
      <c r="C524" t="s">
        <v>53</v>
      </c>
      <c r="D524" t="s">
        <v>11</v>
      </c>
      <c r="E524" t="s">
        <v>1626</v>
      </c>
      <c r="F524" t="str" cm="1">
        <f t="array" ref="F524">_xlfn.IFS(Table1[[#This Row],[Country]]="United States","US",Table1[[#This Row],[Country]]="United Kingdom","UK",TRUE,"EU")</f>
        <v>EU</v>
      </c>
      <c r="G524" cm="1">
        <f t="array" ref="G52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25" spans="1:7" x14ac:dyDescent="0.2">
      <c r="A525" t="s">
        <v>1021</v>
      </c>
      <c r="B525" t="s">
        <v>1630</v>
      </c>
      <c r="C525" t="s">
        <v>53</v>
      </c>
      <c r="D525" t="s">
        <v>7</v>
      </c>
      <c r="E525" t="s">
        <v>1584</v>
      </c>
      <c r="F525" t="str" cm="1">
        <f t="array" ref="F525">_xlfn.IFS(Table1[[#This Row],[Country]]="United States","US",Table1[[#This Row],[Country]]="United Kingdom","UK",TRUE,"EU")</f>
        <v>EU</v>
      </c>
      <c r="G525" cm="1">
        <f t="array" ref="G52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26" spans="1:7" x14ac:dyDescent="0.2">
      <c r="A526" t="s">
        <v>1022</v>
      </c>
      <c r="B526" t="s">
        <v>1631</v>
      </c>
      <c r="C526" t="s">
        <v>53</v>
      </c>
      <c r="D526" t="s">
        <v>25</v>
      </c>
      <c r="E526" t="s">
        <v>1588</v>
      </c>
      <c r="F526" t="str" cm="1">
        <f t="array" ref="F526">_xlfn.IFS(Table1[[#This Row],[Country]]="United States","US",Table1[[#This Row],[Country]]="United Kingdom","UK",TRUE,"EU")</f>
        <v>EU</v>
      </c>
      <c r="G526" cm="1">
        <f t="array" ref="G52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527" spans="1:7" x14ac:dyDescent="0.2">
      <c r="A527" t="s">
        <v>1023</v>
      </c>
      <c r="B527" t="s">
        <v>1632</v>
      </c>
      <c r="C527" t="s">
        <v>53</v>
      </c>
      <c r="D527" t="s">
        <v>7</v>
      </c>
      <c r="E527" t="s">
        <v>1619</v>
      </c>
      <c r="F527" t="str" cm="1">
        <f t="array" ref="F527">_xlfn.IFS(Table1[[#This Row],[Country]]="United States","US",Table1[[#This Row],[Country]]="United Kingdom","UK",TRUE,"EU")</f>
        <v>EU</v>
      </c>
      <c r="G527" cm="1">
        <f t="array" ref="G52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28" spans="1:7" x14ac:dyDescent="0.2">
      <c r="A528" t="s">
        <v>1024</v>
      </c>
      <c r="B528" t="s">
        <v>1633</v>
      </c>
      <c r="C528" t="s">
        <v>53</v>
      </c>
      <c r="D528" t="s">
        <v>16</v>
      </c>
      <c r="E528" t="s">
        <v>1588</v>
      </c>
      <c r="F528" t="str" cm="1">
        <f t="array" ref="F528">_xlfn.IFS(Table1[[#This Row],[Country]]="United States","US",Table1[[#This Row],[Country]]="United Kingdom","UK",TRUE,"EU")</f>
        <v>EU</v>
      </c>
      <c r="G528" cm="1">
        <f t="array" ref="G52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29" spans="1:7" x14ac:dyDescent="0.2">
      <c r="A529" t="s">
        <v>1025</v>
      </c>
      <c r="B529" t="s">
        <v>1634</v>
      </c>
      <c r="C529" t="s">
        <v>53</v>
      </c>
      <c r="D529" t="s">
        <v>7</v>
      </c>
      <c r="E529" t="s">
        <v>1635</v>
      </c>
      <c r="F529" t="str" cm="1">
        <f t="array" ref="F529">_xlfn.IFS(Table1[[#This Row],[Country]]="United States","US",Table1[[#This Row],[Country]]="United Kingdom","UK",TRUE,"EU")</f>
        <v>EU</v>
      </c>
      <c r="G529" cm="1">
        <f t="array" ref="G52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30" spans="1:7" x14ac:dyDescent="0.2">
      <c r="A530" t="s">
        <v>1026</v>
      </c>
      <c r="B530" t="s">
        <v>1636</v>
      </c>
      <c r="C530" t="s">
        <v>53</v>
      </c>
      <c r="D530" t="s">
        <v>191</v>
      </c>
      <c r="E530" t="s">
        <v>1588</v>
      </c>
      <c r="F530" t="str" cm="1">
        <f t="array" ref="F530">_xlfn.IFS(Table1[[#This Row],[Country]]="United States","US",Table1[[#This Row],[Country]]="United Kingdom","UK",TRUE,"EU")</f>
        <v>EU</v>
      </c>
      <c r="G530" cm="1">
        <f t="array" ref="G53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31" spans="1:7" x14ac:dyDescent="0.2">
      <c r="A531" t="s">
        <v>1027</v>
      </c>
      <c r="B531" t="s">
        <v>1637</v>
      </c>
      <c r="C531" t="s">
        <v>53</v>
      </c>
      <c r="D531" t="s">
        <v>7</v>
      </c>
      <c r="E531" t="s">
        <v>1588</v>
      </c>
      <c r="F531" t="str" cm="1">
        <f t="array" ref="F531">_xlfn.IFS(Table1[[#This Row],[Country]]="United States","US",Table1[[#This Row],[Country]]="United Kingdom","UK",TRUE,"EU")</f>
        <v>EU</v>
      </c>
      <c r="G531" cm="1">
        <f t="array" ref="G53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32" spans="1:7" x14ac:dyDescent="0.2">
      <c r="A532" t="s">
        <v>1028</v>
      </c>
      <c r="B532" t="s">
        <v>1638</v>
      </c>
      <c r="C532" t="s">
        <v>53</v>
      </c>
      <c r="D532" t="s">
        <v>16</v>
      </c>
      <c r="E532" t="s">
        <v>1588</v>
      </c>
      <c r="F532" t="str" cm="1">
        <f t="array" ref="F532">_xlfn.IFS(Table1[[#This Row],[Country]]="United States","US",Table1[[#This Row],[Country]]="United Kingdom","UK",TRUE,"EU")</f>
        <v>EU</v>
      </c>
      <c r="G532" cm="1">
        <f t="array" ref="G53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33" spans="1:7" x14ac:dyDescent="0.2">
      <c r="A533" t="s">
        <v>1029</v>
      </c>
      <c r="B533" t="s">
        <v>1639</v>
      </c>
      <c r="C533" t="s">
        <v>10</v>
      </c>
      <c r="D533" t="s">
        <v>7</v>
      </c>
      <c r="E533" t="s">
        <v>1640</v>
      </c>
      <c r="F533" t="str" cm="1">
        <f t="array" ref="F533">_xlfn.IFS(Table1[[#This Row],[Country]]="United States","US",Table1[[#This Row],[Country]]="United Kingdom","UK",TRUE,"EU")</f>
        <v>EU</v>
      </c>
      <c r="G533" cm="1">
        <f t="array" ref="G53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34" spans="1:7" x14ac:dyDescent="0.2">
      <c r="A534" t="s">
        <v>1030</v>
      </c>
      <c r="B534" t="s">
        <v>1641</v>
      </c>
      <c r="C534" t="s">
        <v>10</v>
      </c>
      <c r="D534" t="s">
        <v>25</v>
      </c>
      <c r="E534" t="s">
        <v>1588</v>
      </c>
      <c r="F534" t="str" cm="1">
        <f t="array" ref="F534">_xlfn.IFS(Table1[[#This Row],[Country]]="United States","US",Table1[[#This Row],[Country]]="United Kingdom","UK",TRUE,"EU")</f>
        <v>EU</v>
      </c>
      <c r="G534" cm="1">
        <f t="array" ref="G53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535" spans="1:7" x14ac:dyDescent="0.2">
      <c r="A535" t="s">
        <v>1031</v>
      </c>
      <c r="B535" t="s">
        <v>1642</v>
      </c>
      <c r="C535" t="s">
        <v>10</v>
      </c>
      <c r="D535" t="s">
        <v>25</v>
      </c>
      <c r="E535" t="s">
        <v>1621</v>
      </c>
      <c r="F535" t="str" cm="1">
        <f t="array" ref="F535">_xlfn.IFS(Table1[[#This Row],[Country]]="United States","US",Table1[[#This Row],[Country]]="United Kingdom","UK",TRUE,"EU")</f>
        <v>EU</v>
      </c>
      <c r="G535" cm="1">
        <f t="array" ref="G53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536" spans="1:7" x14ac:dyDescent="0.2">
      <c r="A536" t="s">
        <v>1032</v>
      </c>
      <c r="B536" t="s">
        <v>1643</v>
      </c>
      <c r="C536" t="s">
        <v>10</v>
      </c>
      <c r="D536" t="s">
        <v>7</v>
      </c>
      <c r="E536" t="s">
        <v>1640</v>
      </c>
      <c r="F536" t="str" cm="1">
        <f t="array" ref="F536">_xlfn.IFS(Table1[[#This Row],[Country]]="United States","US",Table1[[#This Row],[Country]]="United Kingdom","UK",TRUE,"EU")</f>
        <v>EU</v>
      </c>
      <c r="G536" cm="1">
        <f t="array" ref="G53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37" spans="1:7" x14ac:dyDescent="0.2">
      <c r="A537" t="s">
        <v>1033</v>
      </c>
      <c r="B537" t="s">
        <v>1644</v>
      </c>
      <c r="C537" t="s">
        <v>10</v>
      </c>
      <c r="D537" t="s">
        <v>25</v>
      </c>
      <c r="E537" t="s">
        <v>1601</v>
      </c>
      <c r="F537" t="str" cm="1">
        <f t="array" ref="F537">_xlfn.IFS(Table1[[#This Row],[Country]]="United States","US",Table1[[#This Row],[Country]]="United Kingdom","UK",TRUE,"EU")</f>
        <v>EU</v>
      </c>
      <c r="G537" cm="1">
        <f t="array" ref="G53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538" spans="1:7" x14ac:dyDescent="0.2">
      <c r="A538" t="s">
        <v>1034</v>
      </c>
      <c r="B538" t="s">
        <v>1645</v>
      </c>
      <c r="C538" t="s">
        <v>10</v>
      </c>
      <c r="D538" t="s">
        <v>7</v>
      </c>
      <c r="E538" t="s">
        <v>1584</v>
      </c>
      <c r="F538" t="str" cm="1">
        <f t="array" ref="F538">_xlfn.IFS(Table1[[#This Row],[Country]]="United States","US",Table1[[#This Row],[Country]]="United Kingdom","UK",TRUE,"EU")</f>
        <v>EU</v>
      </c>
      <c r="G538" cm="1">
        <f t="array" ref="G53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39" spans="1:7" x14ac:dyDescent="0.2">
      <c r="A539" t="s">
        <v>1035</v>
      </c>
      <c r="B539" t="s">
        <v>1646</v>
      </c>
      <c r="C539" t="s">
        <v>10</v>
      </c>
      <c r="D539" t="s">
        <v>33</v>
      </c>
      <c r="E539" t="s">
        <v>1619</v>
      </c>
      <c r="F539" t="str" cm="1">
        <f t="array" ref="F539">_xlfn.IFS(Table1[[#This Row],[Country]]="United States","US",Table1[[#This Row],[Country]]="United Kingdom","UK",TRUE,"EU")</f>
        <v>EU</v>
      </c>
      <c r="G539" cm="1">
        <f t="array" ref="G53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40" spans="1:7" x14ac:dyDescent="0.2">
      <c r="A540" t="s">
        <v>1036</v>
      </c>
      <c r="B540" t="s">
        <v>1647</v>
      </c>
      <c r="C540" t="s">
        <v>10</v>
      </c>
      <c r="D540" t="s">
        <v>11</v>
      </c>
      <c r="E540" t="s">
        <v>1588</v>
      </c>
      <c r="F540" t="str" cm="1">
        <f t="array" ref="F540">_xlfn.IFS(Table1[[#This Row],[Country]]="United States","US",Table1[[#This Row],[Country]]="United Kingdom","UK",TRUE,"EU")</f>
        <v>EU</v>
      </c>
      <c r="G540" cm="1">
        <f t="array" ref="G54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41" spans="1:7" x14ac:dyDescent="0.2">
      <c r="A541" t="s">
        <v>1037</v>
      </c>
      <c r="B541" t="s">
        <v>1648</v>
      </c>
      <c r="C541" t="s">
        <v>10</v>
      </c>
      <c r="D541" t="s">
        <v>33</v>
      </c>
      <c r="E541" t="s">
        <v>1582</v>
      </c>
      <c r="F541" t="str" cm="1">
        <f t="array" ref="F541">_xlfn.IFS(Table1[[#This Row],[Country]]="United States","US",Table1[[#This Row],[Country]]="United Kingdom","UK",TRUE,"EU")</f>
        <v>EU</v>
      </c>
      <c r="G541" cm="1">
        <f t="array" ref="G54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42" spans="1:7" x14ac:dyDescent="0.2">
      <c r="A542" t="s">
        <v>1038</v>
      </c>
      <c r="B542" t="s">
        <v>1649</v>
      </c>
      <c r="C542" t="s">
        <v>10</v>
      </c>
      <c r="D542" t="s">
        <v>42</v>
      </c>
      <c r="E542" t="s">
        <v>1650</v>
      </c>
      <c r="F542" t="str" cm="1">
        <f t="array" ref="F542">_xlfn.IFS(Table1[[#This Row],[Country]]="United States","US",Table1[[#This Row],[Country]]="United Kingdom","UK",TRUE,"EU")</f>
        <v>EU</v>
      </c>
      <c r="G542" cm="1">
        <f t="array" ref="G54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43" spans="1:7" x14ac:dyDescent="0.2">
      <c r="A543" t="s">
        <v>1039</v>
      </c>
      <c r="B543" t="s">
        <v>1651</v>
      </c>
      <c r="C543" t="s">
        <v>10</v>
      </c>
      <c r="D543" t="s">
        <v>42</v>
      </c>
      <c r="E543" t="s">
        <v>1652</v>
      </c>
      <c r="F543" t="str" cm="1">
        <f t="array" ref="F543">_xlfn.IFS(Table1[[#This Row],[Country]]="United States","US",Table1[[#This Row],[Country]]="United Kingdom","UK",TRUE,"EU")</f>
        <v>EU</v>
      </c>
      <c r="G543" cm="1">
        <f t="array" ref="G54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44" spans="1:7" x14ac:dyDescent="0.2">
      <c r="A544" t="s">
        <v>1040</v>
      </c>
      <c r="B544" t="s">
        <v>1653</v>
      </c>
      <c r="C544" t="s">
        <v>10</v>
      </c>
      <c r="D544" t="s">
        <v>7</v>
      </c>
      <c r="E544" t="s">
        <v>1654</v>
      </c>
      <c r="F544" t="str" cm="1">
        <f t="array" ref="F544">_xlfn.IFS(Table1[[#This Row],[Country]]="United States","US",Table1[[#This Row],[Country]]="United Kingdom","UK",TRUE,"EU")</f>
        <v>EU</v>
      </c>
      <c r="G544" cm="1">
        <f t="array" ref="G54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45" spans="1:7" x14ac:dyDescent="0.2">
      <c r="A545" t="s">
        <v>1041</v>
      </c>
      <c r="B545" t="s">
        <v>1655</v>
      </c>
      <c r="C545" t="s">
        <v>10</v>
      </c>
      <c r="D545" t="s">
        <v>25</v>
      </c>
      <c r="E545" t="s">
        <v>1582</v>
      </c>
      <c r="F545" t="str" cm="1">
        <f t="array" ref="F545">_xlfn.IFS(Table1[[#This Row],[Country]]="United States","US",Table1[[#This Row],[Country]]="United Kingdom","UK",TRUE,"EU")</f>
        <v>EU</v>
      </c>
      <c r="G545" cm="1">
        <f t="array" ref="G54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546" spans="1:7" x14ac:dyDescent="0.2">
      <c r="A546" t="s">
        <v>1042</v>
      </c>
      <c r="B546" t="s">
        <v>1595</v>
      </c>
      <c r="C546" t="s">
        <v>10</v>
      </c>
      <c r="D546" t="s">
        <v>25</v>
      </c>
      <c r="E546" t="s">
        <v>1599</v>
      </c>
      <c r="F546" t="str" cm="1">
        <f t="array" ref="F546">_xlfn.IFS(Table1[[#This Row],[Country]]="United States","US",Table1[[#This Row],[Country]]="United Kingdom","UK",TRUE,"EU")</f>
        <v>EU</v>
      </c>
      <c r="G546" cm="1">
        <f t="array" ref="G54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547" spans="1:7" x14ac:dyDescent="0.2">
      <c r="A547" t="s">
        <v>1043</v>
      </c>
      <c r="B547" t="s">
        <v>1656</v>
      </c>
      <c r="C547" t="s">
        <v>10</v>
      </c>
      <c r="D547" t="s">
        <v>191</v>
      </c>
      <c r="E547" t="s">
        <v>1588</v>
      </c>
      <c r="F547" t="str" cm="1">
        <f t="array" ref="F547">_xlfn.IFS(Table1[[#This Row],[Country]]="United States","US",Table1[[#This Row],[Country]]="United Kingdom","UK",TRUE,"EU")</f>
        <v>EU</v>
      </c>
      <c r="G547" cm="1">
        <f t="array" ref="G54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48" spans="1:7" x14ac:dyDescent="0.2">
      <c r="A548" t="s">
        <v>1045</v>
      </c>
      <c r="B548" t="s">
        <v>1657</v>
      </c>
      <c r="C548" t="s">
        <v>10</v>
      </c>
      <c r="D548" t="s">
        <v>11</v>
      </c>
      <c r="E548" t="s">
        <v>1626</v>
      </c>
      <c r="F548" t="str" cm="1">
        <f t="array" ref="F548">_xlfn.IFS(Table1[[#This Row],[Country]]="United States","US",Table1[[#This Row],[Country]]="United Kingdom","UK",TRUE,"EU")</f>
        <v>EU</v>
      </c>
      <c r="G548" cm="1">
        <f t="array" ref="G54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49" spans="1:7" x14ac:dyDescent="0.2">
      <c r="A549" t="s">
        <v>1046</v>
      </c>
      <c r="B549" t="s">
        <v>1658</v>
      </c>
      <c r="C549" t="s">
        <v>10</v>
      </c>
      <c r="D549" t="s">
        <v>25</v>
      </c>
      <c r="E549" t="s">
        <v>1582</v>
      </c>
      <c r="F549" t="str" cm="1">
        <f t="array" ref="F549">_xlfn.IFS(Table1[[#This Row],[Country]]="United States","US",Table1[[#This Row],[Country]]="United Kingdom","UK",TRUE,"EU")</f>
        <v>EU</v>
      </c>
      <c r="G549" cm="1">
        <f t="array" ref="G54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550" spans="1:7" x14ac:dyDescent="0.2">
      <c r="A550" t="s">
        <v>1047</v>
      </c>
      <c r="B550" t="s">
        <v>1659</v>
      </c>
      <c r="C550" t="s">
        <v>10</v>
      </c>
      <c r="D550" t="s">
        <v>25</v>
      </c>
      <c r="E550" t="s">
        <v>1582</v>
      </c>
      <c r="F550" t="str" cm="1">
        <f t="array" ref="F550">_xlfn.IFS(Table1[[#This Row],[Country]]="United States","US",Table1[[#This Row],[Country]]="United Kingdom","UK",TRUE,"EU")</f>
        <v>EU</v>
      </c>
      <c r="G550" cm="1">
        <f t="array" ref="G55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551" spans="1:7" x14ac:dyDescent="0.2">
      <c r="A551" t="s">
        <v>1048</v>
      </c>
      <c r="B551" t="s">
        <v>1660</v>
      </c>
      <c r="C551" t="s">
        <v>10</v>
      </c>
      <c r="D551" t="s">
        <v>25</v>
      </c>
      <c r="E551" t="s">
        <v>1588</v>
      </c>
      <c r="F551" t="str" cm="1">
        <f t="array" ref="F551">_xlfn.IFS(Table1[[#This Row],[Country]]="United States","US",Table1[[#This Row],[Country]]="United Kingdom","UK",TRUE,"EU")</f>
        <v>EU</v>
      </c>
      <c r="G551" cm="1">
        <f t="array" ref="G55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552" spans="1:7" x14ac:dyDescent="0.2">
      <c r="A552" t="s">
        <v>1049</v>
      </c>
      <c r="B552" t="s">
        <v>1661</v>
      </c>
      <c r="C552" t="s">
        <v>10</v>
      </c>
      <c r="D552" t="s">
        <v>118</v>
      </c>
      <c r="E552" t="s">
        <v>1586</v>
      </c>
      <c r="F552" t="str" cm="1">
        <f t="array" ref="F552">_xlfn.IFS(Table1[[#This Row],[Country]]="United States","US",Table1[[#This Row],[Country]]="United Kingdom","UK",TRUE,"EU")</f>
        <v>EU</v>
      </c>
      <c r="G552" cm="1">
        <f t="array" ref="G55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53" spans="1:7" x14ac:dyDescent="0.2">
      <c r="A553" t="s">
        <v>1050</v>
      </c>
      <c r="B553" t="s">
        <v>1662</v>
      </c>
      <c r="C553" t="s">
        <v>10</v>
      </c>
      <c r="D553" t="s">
        <v>25</v>
      </c>
      <c r="E553" t="s">
        <v>1584</v>
      </c>
      <c r="F553" t="str" cm="1">
        <f t="array" ref="F553">_xlfn.IFS(Table1[[#This Row],[Country]]="United States","US",Table1[[#This Row],[Country]]="United Kingdom","UK",TRUE,"EU")</f>
        <v>EU</v>
      </c>
      <c r="G553" cm="1">
        <f t="array" ref="G55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554" spans="1:7" x14ac:dyDescent="0.2">
      <c r="A554" t="s">
        <v>1051</v>
      </c>
      <c r="B554" t="s">
        <v>1663</v>
      </c>
      <c r="C554" t="s">
        <v>10</v>
      </c>
      <c r="D554" t="s">
        <v>16</v>
      </c>
      <c r="E554" t="s">
        <v>1640</v>
      </c>
      <c r="F554" t="str" cm="1">
        <f t="array" ref="F554">_xlfn.IFS(Table1[[#This Row],[Country]]="United States","US",Table1[[#This Row],[Country]]="United Kingdom","UK",TRUE,"EU")</f>
        <v>EU</v>
      </c>
      <c r="G554" cm="1">
        <f t="array" ref="G55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55" spans="1:7" x14ac:dyDescent="0.2">
      <c r="A555" t="s">
        <v>1052</v>
      </c>
      <c r="B555" t="s">
        <v>1664</v>
      </c>
      <c r="C555" t="s">
        <v>10</v>
      </c>
      <c r="D555" t="s">
        <v>16</v>
      </c>
      <c r="E555" t="s">
        <v>1582</v>
      </c>
      <c r="F555" t="str" cm="1">
        <f t="array" ref="F555">_xlfn.IFS(Table1[[#This Row],[Country]]="United States","US",Table1[[#This Row],[Country]]="United Kingdom","UK",TRUE,"EU")</f>
        <v>EU</v>
      </c>
      <c r="G555" cm="1">
        <f t="array" ref="G55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56" spans="1:7" x14ac:dyDescent="0.2">
      <c r="A556" t="s">
        <v>1053</v>
      </c>
      <c r="B556" t="s">
        <v>1665</v>
      </c>
      <c r="C556" t="s">
        <v>10</v>
      </c>
      <c r="D556" t="s">
        <v>11</v>
      </c>
      <c r="E556" t="s">
        <v>1588</v>
      </c>
      <c r="F556" t="str" cm="1">
        <f t="array" ref="F556">_xlfn.IFS(Table1[[#This Row],[Country]]="United States","US",Table1[[#This Row],[Country]]="United Kingdom","UK",TRUE,"EU")</f>
        <v>EU</v>
      </c>
      <c r="G556" cm="1">
        <f t="array" ref="G55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57" spans="1:7" x14ac:dyDescent="0.2">
      <c r="A557" t="s">
        <v>1054</v>
      </c>
      <c r="B557" t="s">
        <v>1666</v>
      </c>
      <c r="C557" t="s">
        <v>10</v>
      </c>
      <c r="D557" t="s">
        <v>33</v>
      </c>
      <c r="E557" t="s">
        <v>1640</v>
      </c>
      <c r="F557" t="str" cm="1">
        <f t="array" ref="F557">_xlfn.IFS(Table1[[#This Row],[Country]]="United States","US",Table1[[#This Row],[Country]]="United Kingdom","UK",TRUE,"EU")</f>
        <v>EU</v>
      </c>
      <c r="G557" cm="1">
        <f t="array" ref="G55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58" spans="1:7" x14ac:dyDescent="0.2">
      <c r="A558" t="s">
        <v>1055</v>
      </c>
      <c r="B558" t="s">
        <v>1667</v>
      </c>
      <c r="C558" t="s">
        <v>10</v>
      </c>
      <c r="D558" t="s">
        <v>7</v>
      </c>
      <c r="E558" t="s">
        <v>1668</v>
      </c>
      <c r="F558" t="str" cm="1">
        <f t="array" ref="F558">_xlfn.IFS(Table1[[#This Row],[Country]]="United States","US",Table1[[#This Row],[Country]]="United Kingdom","UK",TRUE,"EU")</f>
        <v>EU</v>
      </c>
      <c r="G558" cm="1">
        <f t="array" ref="G55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59" spans="1:7" x14ac:dyDescent="0.2">
      <c r="A559" t="s">
        <v>1056</v>
      </c>
      <c r="B559" t="s">
        <v>1669</v>
      </c>
      <c r="C559" t="s">
        <v>10</v>
      </c>
      <c r="D559" t="s">
        <v>11</v>
      </c>
      <c r="E559" t="s">
        <v>1588</v>
      </c>
      <c r="F559" t="str" cm="1">
        <f t="array" ref="F559">_xlfn.IFS(Table1[[#This Row],[Country]]="United States","US",Table1[[#This Row],[Country]]="United Kingdom","UK",TRUE,"EU")</f>
        <v>EU</v>
      </c>
      <c r="G559" cm="1">
        <f t="array" ref="G55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60" spans="1:7" x14ac:dyDescent="0.2">
      <c r="A560" t="s">
        <v>1057</v>
      </c>
      <c r="B560" t="s">
        <v>1670</v>
      </c>
      <c r="C560" t="s">
        <v>10</v>
      </c>
      <c r="D560" t="s">
        <v>33</v>
      </c>
      <c r="E560" t="s">
        <v>1586</v>
      </c>
      <c r="F560" t="str" cm="1">
        <f t="array" ref="F560">_xlfn.IFS(Table1[[#This Row],[Country]]="United States","US",Table1[[#This Row],[Country]]="United Kingdom","UK",TRUE,"EU")</f>
        <v>EU</v>
      </c>
      <c r="G560" cm="1">
        <f t="array" ref="G56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61" spans="1:7" x14ac:dyDescent="0.2">
      <c r="A561" t="s">
        <v>1058</v>
      </c>
      <c r="B561" t="s">
        <v>1671</v>
      </c>
      <c r="C561" t="s">
        <v>10</v>
      </c>
      <c r="D561" t="s">
        <v>42</v>
      </c>
      <c r="E561" t="s">
        <v>1601</v>
      </c>
      <c r="F561" t="str" cm="1">
        <f t="array" ref="F561">_xlfn.IFS(Table1[[#This Row],[Country]]="United States","US",Table1[[#This Row],[Country]]="United Kingdom","UK",TRUE,"EU")</f>
        <v>EU</v>
      </c>
      <c r="G561" cm="1">
        <f t="array" ref="G56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62" spans="1:7" x14ac:dyDescent="0.2">
      <c r="A562" t="s">
        <v>1059</v>
      </c>
      <c r="B562" t="s">
        <v>1672</v>
      </c>
      <c r="C562" t="s">
        <v>10</v>
      </c>
      <c r="D562" t="s">
        <v>11</v>
      </c>
      <c r="E562" t="s">
        <v>1582</v>
      </c>
      <c r="F562" t="str" cm="1">
        <f t="array" ref="F562">_xlfn.IFS(Table1[[#This Row],[Country]]="United States","US",Table1[[#This Row],[Country]]="United Kingdom","UK",TRUE,"EU")</f>
        <v>EU</v>
      </c>
      <c r="G562" cm="1">
        <f t="array" ref="G56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63" spans="1:7" x14ac:dyDescent="0.2">
      <c r="A563" t="s">
        <v>1060</v>
      </c>
      <c r="B563" t="s">
        <v>1673</v>
      </c>
      <c r="C563" t="s">
        <v>10</v>
      </c>
      <c r="D563" t="s">
        <v>11</v>
      </c>
      <c r="E563" t="s">
        <v>1599</v>
      </c>
      <c r="F563" t="str" cm="1">
        <f t="array" ref="F563">_xlfn.IFS(Table1[[#This Row],[Country]]="United States","US",Table1[[#This Row],[Country]]="United Kingdom","UK",TRUE,"EU")</f>
        <v>EU</v>
      </c>
      <c r="G563" cm="1">
        <f t="array" ref="G56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64" spans="1:7" x14ac:dyDescent="0.2">
      <c r="A564" t="s">
        <v>1061</v>
      </c>
      <c r="B564" t="s">
        <v>1674</v>
      </c>
      <c r="C564" t="s">
        <v>10</v>
      </c>
      <c r="D564" t="s">
        <v>118</v>
      </c>
      <c r="E564" t="s">
        <v>1584</v>
      </c>
      <c r="F564" t="str" cm="1">
        <f t="array" ref="F564">_xlfn.IFS(Table1[[#This Row],[Country]]="United States","US",Table1[[#This Row],[Country]]="United Kingdom","UK",TRUE,"EU")</f>
        <v>EU</v>
      </c>
      <c r="G564" cm="1">
        <f t="array" ref="G56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65" spans="1:7" x14ac:dyDescent="0.2">
      <c r="A565" t="s">
        <v>1062</v>
      </c>
      <c r="B565" t="s">
        <v>1675</v>
      </c>
      <c r="C565" t="s">
        <v>10</v>
      </c>
      <c r="D565" t="s">
        <v>7</v>
      </c>
      <c r="E565" t="s">
        <v>1584</v>
      </c>
      <c r="F565" t="str" cm="1">
        <f t="array" ref="F565">_xlfn.IFS(Table1[[#This Row],[Country]]="United States","US",Table1[[#This Row],[Country]]="United Kingdom","UK",TRUE,"EU")</f>
        <v>EU</v>
      </c>
      <c r="G565" cm="1">
        <f t="array" ref="G56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66" spans="1:7" x14ac:dyDescent="0.2">
      <c r="A566" t="s">
        <v>1063</v>
      </c>
      <c r="B566" t="s">
        <v>1676</v>
      </c>
      <c r="C566" t="s">
        <v>10</v>
      </c>
      <c r="D566" t="s">
        <v>25</v>
      </c>
      <c r="E566" t="s">
        <v>1640</v>
      </c>
      <c r="F566" t="str" cm="1">
        <f t="array" ref="F566">_xlfn.IFS(Table1[[#This Row],[Country]]="United States","US",Table1[[#This Row],[Country]]="United Kingdom","UK",TRUE,"EU")</f>
        <v>EU</v>
      </c>
      <c r="G566" cm="1">
        <f t="array" ref="G56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567" spans="1:7" x14ac:dyDescent="0.2">
      <c r="A567" t="s">
        <v>1064</v>
      </c>
      <c r="B567" t="s">
        <v>1677</v>
      </c>
      <c r="C567" t="s">
        <v>10</v>
      </c>
      <c r="D567" t="s">
        <v>11</v>
      </c>
      <c r="E567" t="s">
        <v>1650</v>
      </c>
      <c r="F567" t="str" cm="1">
        <f t="array" ref="F567">_xlfn.IFS(Table1[[#This Row],[Country]]="United States","US",Table1[[#This Row],[Country]]="United Kingdom","UK",TRUE,"EU")</f>
        <v>EU</v>
      </c>
      <c r="G567" cm="1">
        <f t="array" ref="G56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68" spans="1:7" x14ac:dyDescent="0.2">
      <c r="A568" t="s">
        <v>1065</v>
      </c>
      <c r="B568" t="s">
        <v>1678</v>
      </c>
      <c r="C568" t="s">
        <v>10</v>
      </c>
      <c r="D568" t="s">
        <v>7</v>
      </c>
      <c r="E568" t="s">
        <v>1584</v>
      </c>
      <c r="F568" t="str" cm="1">
        <f t="array" ref="F568">_xlfn.IFS(Table1[[#This Row],[Country]]="United States","US",Table1[[#This Row],[Country]]="United Kingdom","UK",TRUE,"EU")</f>
        <v>EU</v>
      </c>
      <c r="G568" cm="1">
        <f t="array" ref="G56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69" spans="1:7" x14ac:dyDescent="0.2">
      <c r="A569" t="s">
        <v>1066</v>
      </c>
      <c r="B569" t="s">
        <v>1679</v>
      </c>
      <c r="C569" t="s">
        <v>10</v>
      </c>
      <c r="D569" t="s">
        <v>33</v>
      </c>
      <c r="E569" t="s">
        <v>1584</v>
      </c>
      <c r="F569" t="str" cm="1">
        <f t="array" ref="F569">_xlfn.IFS(Table1[[#This Row],[Country]]="United States","US",Table1[[#This Row],[Country]]="United Kingdom","UK",TRUE,"EU")</f>
        <v>EU</v>
      </c>
      <c r="G569" cm="1">
        <f t="array" ref="G56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70" spans="1:7" x14ac:dyDescent="0.2">
      <c r="A570" t="s">
        <v>1067</v>
      </c>
      <c r="B570" t="s">
        <v>1680</v>
      </c>
      <c r="C570" t="s">
        <v>10</v>
      </c>
      <c r="D570" t="s">
        <v>7</v>
      </c>
      <c r="E570" t="s">
        <v>1584</v>
      </c>
      <c r="F570" t="str" cm="1">
        <f t="array" ref="F570">_xlfn.IFS(Table1[[#This Row],[Country]]="United States","US",Table1[[#This Row],[Country]]="United Kingdom","UK",TRUE,"EU")</f>
        <v>EU</v>
      </c>
      <c r="G570" cm="1">
        <f t="array" ref="G57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71" spans="1:7" x14ac:dyDescent="0.2">
      <c r="A571" t="s">
        <v>1068</v>
      </c>
      <c r="B571" t="s">
        <v>1681</v>
      </c>
      <c r="C571" t="s">
        <v>10</v>
      </c>
      <c r="D571" t="s">
        <v>7</v>
      </c>
      <c r="E571" t="s">
        <v>1599</v>
      </c>
      <c r="F571" t="str" cm="1">
        <f t="array" ref="F571">_xlfn.IFS(Table1[[#This Row],[Country]]="United States","US",Table1[[#This Row],[Country]]="United Kingdom","UK",TRUE,"EU")</f>
        <v>EU</v>
      </c>
      <c r="G571" cm="1">
        <f t="array" ref="G57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72" spans="1:7" x14ac:dyDescent="0.2">
      <c r="A572" t="s">
        <v>1069</v>
      </c>
      <c r="B572" t="s">
        <v>1682</v>
      </c>
      <c r="C572" t="s">
        <v>10</v>
      </c>
      <c r="D572" t="s">
        <v>7</v>
      </c>
      <c r="E572" t="s">
        <v>1582</v>
      </c>
      <c r="F572" t="str" cm="1">
        <f t="array" ref="F572">_xlfn.IFS(Table1[[#This Row],[Country]]="United States","US",Table1[[#This Row],[Country]]="United Kingdom","UK",TRUE,"EU")</f>
        <v>EU</v>
      </c>
      <c r="G572" cm="1">
        <f t="array" ref="G57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73" spans="1:7" x14ac:dyDescent="0.2">
      <c r="A573" t="s">
        <v>1070</v>
      </c>
      <c r="B573" t="s">
        <v>1683</v>
      </c>
      <c r="C573" t="s">
        <v>10</v>
      </c>
      <c r="D573" t="s">
        <v>11</v>
      </c>
      <c r="E573" t="s">
        <v>1588</v>
      </c>
      <c r="F573" t="str" cm="1">
        <f t="array" ref="F573">_xlfn.IFS(Table1[[#This Row],[Country]]="United States","US",Table1[[#This Row],[Country]]="United Kingdom","UK",TRUE,"EU")</f>
        <v>EU</v>
      </c>
      <c r="G573" cm="1">
        <f t="array" ref="G57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74" spans="1:7" x14ac:dyDescent="0.2">
      <c r="A574" t="s">
        <v>1071</v>
      </c>
      <c r="B574" t="s">
        <v>1684</v>
      </c>
      <c r="C574" t="s">
        <v>10</v>
      </c>
      <c r="D574" t="s">
        <v>7</v>
      </c>
      <c r="E574" t="s">
        <v>1654</v>
      </c>
      <c r="F574" t="str" cm="1">
        <f t="array" ref="F574">_xlfn.IFS(Table1[[#This Row],[Country]]="United States","US",Table1[[#This Row],[Country]]="United Kingdom","UK",TRUE,"EU")</f>
        <v>EU</v>
      </c>
      <c r="G574" cm="1">
        <f t="array" ref="G57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75" spans="1:7" x14ac:dyDescent="0.2">
      <c r="A575" t="s">
        <v>1072</v>
      </c>
      <c r="B575" t="s">
        <v>1685</v>
      </c>
      <c r="C575" t="s">
        <v>10</v>
      </c>
      <c r="D575" t="s">
        <v>25</v>
      </c>
      <c r="E575" t="s">
        <v>1640</v>
      </c>
      <c r="F575" t="str" cm="1">
        <f t="array" ref="F575">_xlfn.IFS(Table1[[#This Row],[Country]]="United States","US",Table1[[#This Row],[Country]]="United Kingdom","UK",TRUE,"EU")</f>
        <v>EU</v>
      </c>
      <c r="G575" cm="1">
        <f t="array" ref="G57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576" spans="1:7" x14ac:dyDescent="0.2">
      <c r="A576" t="s">
        <v>1073</v>
      </c>
      <c r="B576" t="s">
        <v>1686</v>
      </c>
      <c r="C576" t="s">
        <v>10</v>
      </c>
      <c r="D576" t="s">
        <v>42</v>
      </c>
      <c r="E576" t="s">
        <v>1654</v>
      </c>
      <c r="F576" t="str" cm="1">
        <f t="array" ref="F576">_xlfn.IFS(Table1[[#This Row],[Country]]="United States","US",Table1[[#This Row],[Country]]="United Kingdom","UK",TRUE,"EU")</f>
        <v>EU</v>
      </c>
      <c r="G576" cm="1">
        <f t="array" ref="G57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77" spans="1:7" x14ac:dyDescent="0.2">
      <c r="A577" t="s">
        <v>1074</v>
      </c>
      <c r="B577" t="s">
        <v>1687</v>
      </c>
      <c r="C577" t="s">
        <v>10</v>
      </c>
      <c r="D577" t="s">
        <v>7</v>
      </c>
      <c r="E577" t="s">
        <v>1640</v>
      </c>
      <c r="F577" t="str" cm="1">
        <f t="array" ref="F577">_xlfn.IFS(Table1[[#This Row],[Country]]="United States","US",Table1[[#This Row],[Country]]="United Kingdom","UK",TRUE,"EU")</f>
        <v>EU</v>
      </c>
      <c r="G577" cm="1">
        <f t="array" ref="G57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78" spans="1:7" x14ac:dyDescent="0.2">
      <c r="A578" t="s">
        <v>1075</v>
      </c>
      <c r="B578" t="s">
        <v>1688</v>
      </c>
      <c r="C578" t="s">
        <v>10</v>
      </c>
      <c r="D578" t="s">
        <v>7</v>
      </c>
      <c r="E578" t="s">
        <v>1668</v>
      </c>
      <c r="F578" t="str" cm="1">
        <f t="array" ref="F578">_xlfn.IFS(Table1[[#This Row],[Country]]="United States","US",Table1[[#This Row],[Country]]="United Kingdom","UK",TRUE,"EU")</f>
        <v>EU</v>
      </c>
      <c r="G578" cm="1">
        <f t="array" ref="G57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79" spans="1:7" x14ac:dyDescent="0.2">
      <c r="A579" t="s">
        <v>1076</v>
      </c>
      <c r="B579" t="s">
        <v>1689</v>
      </c>
      <c r="C579" t="s">
        <v>10</v>
      </c>
      <c r="D579" t="s">
        <v>118</v>
      </c>
      <c r="E579" t="s">
        <v>1588</v>
      </c>
      <c r="F579" t="str" cm="1">
        <f t="array" ref="F579">_xlfn.IFS(Table1[[#This Row],[Country]]="United States","US",Table1[[#This Row],[Country]]="United Kingdom","UK",TRUE,"EU")</f>
        <v>EU</v>
      </c>
      <c r="G579" cm="1">
        <f t="array" ref="G57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80" spans="1:7" x14ac:dyDescent="0.2">
      <c r="A580" t="s">
        <v>1077</v>
      </c>
      <c r="B580" t="s">
        <v>1690</v>
      </c>
      <c r="C580" t="s">
        <v>10</v>
      </c>
      <c r="D580" t="s">
        <v>33</v>
      </c>
      <c r="E580" t="s">
        <v>1650</v>
      </c>
      <c r="F580" t="str" cm="1">
        <f t="array" ref="F580">_xlfn.IFS(Table1[[#This Row],[Country]]="United States","US",Table1[[#This Row],[Country]]="United Kingdom","UK",TRUE,"EU")</f>
        <v>EU</v>
      </c>
      <c r="G580" cm="1">
        <f t="array" ref="G58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81" spans="1:7" x14ac:dyDescent="0.2">
      <c r="A581" t="s">
        <v>1078</v>
      </c>
      <c r="B581" t="s">
        <v>1691</v>
      </c>
      <c r="C581" t="s">
        <v>10</v>
      </c>
      <c r="D581" t="s">
        <v>118</v>
      </c>
      <c r="E581" t="s">
        <v>1599</v>
      </c>
      <c r="F581" t="str" cm="1">
        <f t="array" ref="F581">_xlfn.IFS(Table1[[#This Row],[Country]]="United States","US",Table1[[#This Row],[Country]]="United Kingdom","UK",TRUE,"EU")</f>
        <v>EU</v>
      </c>
      <c r="G581" cm="1">
        <f t="array" ref="G58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82" spans="1:7" x14ac:dyDescent="0.2">
      <c r="A582" t="s">
        <v>1079</v>
      </c>
      <c r="B582" t="s">
        <v>1692</v>
      </c>
      <c r="C582" t="s">
        <v>10</v>
      </c>
      <c r="D582" t="s">
        <v>33</v>
      </c>
      <c r="E582" t="s">
        <v>1588</v>
      </c>
      <c r="F582" t="str" cm="1">
        <f t="array" ref="F582">_xlfn.IFS(Table1[[#This Row],[Country]]="United States","US",Table1[[#This Row],[Country]]="United Kingdom","UK",TRUE,"EU")</f>
        <v>EU</v>
      </c>
      <c r="G582" cm="1">
        <f t="array" ref="G58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83" spans="1:7" x14ac:dyDescent="0.2">
      <c r="A583" t="s">
        <v>1080</v>
      </c>
      <c r="B583" t="s">
        <v>1693</v>
      </c>
      <c r="C583" t="s">
        <v>24</v>
      </c>
      <c r="D583" t="s">
        <v>42</v>
      </c>
      <c r="E583" t="s">
        <v>1640</v>
      </c>
      <c r="F583" t="str" cm="1">
        <f t="array" ref="F583">_xlfn.IFS(Table1[[#This Row],[Country]]="United States","US",Table1[[#This Row],[Country]]="United Kingdom","UK",TRUE,"EU")</f>
        <v>EU</v>
      </c>
      <c r="G583" cm="1">
        <f t="array" ref="G58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84" spans="1:7" x14ac:dyDescent="0.2">
      <c r="A584" t="s">
        <v>1081</v>
      </c>
      <c r="B584" t="s">
        <v>1694</v>
      </c>
      <c r="C584" t="s">
        <v>24</v>
      </c>
      <c r="D584" t="s">
        <v>18</v>
      </c>
      <c r="E584" t="s">
        <v>1619</v>
      </c>
      <c r="F584" t="str" cm="1">
        <f t="array" ref="F584">_xlfn.IFS(Table1[[#This Row],[Country]]="United States","US",Table1[[#This Row],[Country]]="United Kingdom","UK",TRUE,"EU")</f>
        <v>EU</v>
      </c>
      <c r="G584" cm="1">
        <f t="array" ref="G58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85" spans="1:7" x14ac:dyDescent="0.2">
      <c r="A585" t="s">
        <v>1082</v>
      </c>
      <c r="B585" t="s">
        <v>1695</v>
      </c>
      <c r="C585" t="s">
        <v>24</v>
      </c>
      <c r="D585" t="s">
        <v>42</v>
      </c>
      <c r="E585" t="s">
        <v>1621</v>
      </c>
      <c r="F585" t="str" cm="1">
        <f t="array" ref="F585">_xlfn.IFS(Table1[[#This Row],[Country]]="United States","US",Table1[[#This Row],[Country]]="United Kingdom","UK",TRUE,"EU")</f>
        <v>EU</v>
      </c>
      <c r="G585" cm="1">
        <f t="array" ref="G58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86" spans="1:7" x14ac:dyDescent="0.2">
      <c r="A586" t="s">
        <v>1083</v>
      </c>
      <c r="B586" t="s">
        <v>1696</v>
      </c>
      <c r="C586" t="s">
        <v>24</v>
      </c>
      <c r="D586" t="s">
        <v>7</v>
      </c>
      <c r="E586" t="s">
        <v>1635</v>
      </c>
      <c r="F586" t="str" cm="1">
        <f t="array" ref="F586">_xlfn.IFS(Table1[[#This Row],[Country]]="United States","US",Table1[[#This Row],[Country]]="United Kingdom","UK",TRUE,"EU")</f>
        <v>EU</v>
      </c>
      <c r="G586" cm="1">
        <f t="array" ref="G58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87" spans="1:7" x14ac:dyDescent="0.2">
      <c r="A587" t="s">
        <v>1084</v>
      </c>
      <c r="B587" t="s">
        <v>1697</v>
      </c>
      <c r="C587" t="s">
        <v>24</v>
      </c>
      <c r="D587" t="s">
        <v>16</v>
      </c>
      <c r="E587" t="s">
        <v>1698</v>
      </c>
      <c r="F587" t="str" cm="1">
        <f t="array" ref="F587">_xlfn.IFS(Table1[[#This Row],[Country]]="United States","US",Table1[[#This Row],[Country]]="United Kingdom","UK",TRUE,"EU")</f>
        <v>EU</v>
      </c>
      <c r="G587" cm="1">
        <f t="array" ref="G58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88" spans="1:7" x14ac:dyDescent="0.2">
      <c r="A588" t="s">
        <v>1085</v>
      </c>
      <c r="B588" t="s">
        <v>1699</v>
      </c>
      <c r="C588" t="s">
        <v>24</v>
      </c>
      <c r="D588" t="s">
        <v>7</v>
      </c>
      <c r="E588" t="s">
        <v>1654</v>
      </c>
      <c r="F588" t="str" cm="1">
        <f t="array" ref="F588">_xlfn.IFS(Table1[[#This Row],[Country]]="United States","US",Table1[[#This Row],[Country]]="United Kingdom","UK",TRUE,"EU")</f>
        <v>EU</v>
      </c>
      <c r="G588" cm="1">
        <f t="array" ref="G58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89" spans="1:7" x14ac:dyDescent="0.2">
      <c r="A589" t="s">
        <v>1086</v>
      </c>
      <c r="B589" t="s">
        <v>1700</v>
      </c>
      <c r="C589" t="s">
        <v>24</v>
      </c>
      <c r="D589" t="s">
        <v>25</v>
      </c>
      <c r="E589" t="s">
        <v>1650</v>
      </c>
      <c r="F589" t="str" cm="1">
        <f t="array" ref="F589">_xlfn.IFS(Table1[[#This Row],[Country]]="United States","US",Table1[[#This Row],[Country]]="United Kingdom","UK",TRUE,"EU")</f>
        <v>EU</v>
      </c>
      <c r="G589" cm="1">
        <f t="array" ref="G58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590" spans="1:7" x14ac:dyDescent="0.2">
      <c r="A590" t="s">
        <v>1087</v>
      </c>
      <c r="B590" t="s">
        <v>1701</v>
      </c>
      <c r="C590" t="s">
        <v>24</v>
      </c>
      <c r="D590" t="s">
        <v>33</v>
      </c>
      <c r="E590" t="s">
        <v>1588</v>
      </c>
      <c r="F590" t="str" cm="1">
        <f t="array" ref="F590">_xlfn.IFS(Table1[[#This Row],[Country]]="United States","US",Table1[[#This Row],[Country]]="United Kingdom","UK",TRUE,"EU")</f>
        <v>EU</v>
      </c>
      <c r="G590" cm="1">
        <f t="array" ref="G59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91" spans="1:7" x14ac:dyDescent="0.2">
      <c r="A591" t="s">
        <v>1088</v>
      </c>
      <c r="B591" t="s">
        <v>1702</v>
      </c>
      <c r="C591" t="s">
        <v>24</v>
      </c>
      <c r="D591" t="s">
        <v>7</v>
      </c>
      <c r="E591" t="s">
        <v>1588</v>
      </c>
      <c r="F591" t="str" cm="1">
        <f t="array" ref="F591">_xlfn.IFS(Table1[[#This Row],[Country]]="United States","US",Table1[[#This Row],[Country]]="United Kingdom","UK",TRUE,"EU")</f>
        <v>EU</v>
      </c>
      <c r="G591" cm="1">
        <f t="array" ref="G59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92" spans="1:7" x14ac:dyDescent="0.2">
      <c r="A592" t="s">
        <v>1089</v>
      </c>
      <c r="B592" t="s">
        <v>1703</v>
      </c>
      <c r="C592" t="s">
        <v>24</v>
      </c>
      <c r="D592" t="s">
        <v>25</v>
      </c>
      <c r="E592" t="s">
        <v>1650</v>
      </c>
      <c r="F592" t="str" cm="1">
        <f t="array" ref="F592">_xlfn.IFS(Table1[[#This Row],[Country]]="United States","US",Table1[[#This Row],[Country]]="United Kingdom","UK",TRUE,"EU")</f>
        <v>EU</v>
      </c>
      <c r="G592" cm="1">
        <f t="array" ref="G59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593" spans="1:7" x14ac:dyDescent="0.2">
      <c r="A593" t="s">
        <v>1090</v>
      </c>
      <c r="B593" t="s">
        <v>1704</v>
      </c>
      <c r="C593" t="s">
        <v>24</v>
      </c>
      <c r="D593" t="s">
        <v>42</v>
      </c>
      <c r="E593" t="s">
        <v>1599</v>
      </c>
      <c r="F593" t="str" cm="1">
        <f t="array" ref="F593">_xlfn.IFS(Table1[[#This Row],[Country]]="United States","US",Table1[[#This Row],[Country]]="United Kingdom","UK",TRUE,"EU")</f>
        <v>EU</v>
      </c>
      <c r="G593" cm="1">
        <f t="array" ref="G59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94" spans="1:7" x14ac:dyDescent="0.2">
      <c r="A594" t="s">
        <v>1091</v>
      </c>
      <c r="B594" t="s">
        <v>1705</v>
      </c>
      <c r="C594" t="s">
        <v>24</v>
      </c>
      <c r="D594" t="s">
        <v>11</v>
      </c>
      <c r="E594" t="s">
        <v>1599</v>
      </c>
      <c r="F594" t="str" cm="1">
        <f t="array" ref="F594">_xlfn.IFS(Table1[[#This Row],[Country]]="United States","US",Table1[[#This Row],[Country]]="United Kingdom","UK",TRUE,"EU")</f>
        <v>EU</v>
      </c>
      <c r="G594" cm="1">
        <f t="array" ref="G59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595" spans="1:7" x14ac:dyDescent="0.2">
      <c r="A595" t="s">
        <v>1092</v>
      </c>
      <c r="B595" t="s">
        <v>1706</v>
      </c>
      <c r="C595" t="s">
        <v>24</v>
      </c>
      <c r="D595" t="s">
        <v>7</v>
      </c>
      <c r="E595" t="s">
        <v>1635</v>
      </c>
      <c r="F595" t="str" cm="1">
        <f t="array" ref="F595">_xlfn.IFS(Table1[[#This Row],[Country]]="United States","US",Table1[[#This Row],[Country]]="United Kingdom","UK",TRUE,"EU")</f>
        <v>EU</v>
      </c>
      <c r="G595" cm="1">
        <f t="array" ref="G59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96" spans="1:7" x14ac:dyDescent="0.2">
      <c r="A596" t="s">
        <v>1093</v>
      </c>
      <c r="B596" t="s">
        <v>1707</v>
      </c>
      <c r="C596" t="s">
        <v>24</v>
      </c>
      <c r="D596" t="s">
        <v>21</v>
      </c>
      <c r="E596" t="s">
        <v>1588</v>
      </c>
      <c r="F596" t="str" cm="1">
        <f t="array" ref="F596">_xlfn.IFS(Table1[[#This Row],[Country]]="United States","US",Table1[[#This Row],[Country]]="United Kingdom","UK",TRUE,"EU")</f>
        <v>EU</v>
      </c>
      <c r="G596" cm="1">
        <f t="array" ref="G59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597" spans="1:7" x14ac:dyDescent="0.2">
      <c r="A597" t="s">
        <v>1094</v>
      </c>
      <c r="B597" t="s">
        <v>1708</v>
      </c>
      <c r="C597" t="s">
        <v>24</v>
      </c>
      <c r="D597" t="s">
        <v>25</v>
      </c>
      <c r="E597" t="s">
        <v>1584</v>
      </c>
      <c r="F597" t="str" cm="1">
        <f t="array" ref="F597">_xlfn.IFS(Table1[[#This Row],[Country]]="United States","US",Table1[[#This Row],[Country]]="United Kingdom","UK",TRUE,"EU")</f>
        <v>EU</v>
      </c>
      <c r="G597" cm="1">
        <f t="array" ref="G59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598" spans="1:7" x14ac:dyDescent="0.2">
      <c r="A598" t="s">
        <v>1095</v>
      </c>
      <c r="B598" t="s">
        <v>1709</v>
      </c>
      <c r="C598" t="s">
        <v>24</v>
      </c>
      <c r="D598" t="s">
        <v>7</v>
      </c>
      <c r="E598" t="s">
        <v>1588</v>
      </c>
      <c r="F598" t="str" cm="1">
        <f t="array" ref="F598">_xlfn.IFS(Table1[[#This Row],[Country]]="United States","US",Table1[[#This Row],[Country]]="United Kingdom","UK",TRUE,"EU")</f>
        <v>EU</v>
      </c>
      <c r="G598" cm="1">
        <f t="array" ref="G59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599" spans="1:7" x14ac:dyDescent="0.2">
      <c r="A599" t="s">
        <v>1096</v>
      </c>
      <c r="B599" t="s">
        <v>1710</v>
      </c>
      <c r="C599" t="s">
        <v>24</v>
      </c>
      <c r="D599" t="s">
        <v>16</v>
      </c>
      <c r="E599" t="s">
        <v>1588</v>
      </c>
      <c r="F599" t="str" cm="1">
        <f t="array" ref="F599">_xlfn.IFS(Table1[[#This Row],[Country]]="United States","US",Table1[[#This Row],[Country]]="United Kingdom","UK",TRUE,"EU")</f>
        <v>EU</v>
      </c>
      <c r="G599" cm="1">
        <f t="array" ref="G59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00" spans="1:7" x14ac:dyDescent="0.2">
      <c r="A600" t="s">
        <v>1097</v>
      </c>
      <c r="B600" t="s">
        <v>1711</v>
      </c>
      <c r="C600" t="s">
        <v>24</v>
      </c>
      <c r="D600" t="s">
        <v>33</v>
      </c>
      <c r="E600" t="s">
        <v>1586</v>
      </c>
      <c r="F600" t="str" cm="1">
        <f t="array" ref="F600">_xlfn.IFS(Table1[[#This Row],[Country]]="United States","US",Table1[[#This Row],[Country]]="United Kingdom","UK",TRUE,"EU")</f>
        <v>EU</v>
      </c>
      <c r="G600" cm="1">
        <f t="array" ref="G60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601" spans="1:7" x14ac:dyDescent="0.2">
      <c r="A601" t="s">
        <v>1098</v>
      </c>
      <c r="B601" t="s">
        <v>1712</v>
      </c>
      <c r="C601" t="s">
        <v>24</v>
      </c>
      <c r="D601" t="s">
        <v>25</v>
      </c>
      <c r="E601" t="s">
        <v>1582</v>
      </c>
      <c r="F601" t="str" cm="1">
        <f t="array" ref="F601">_xlfn.IFS(Table1[[#This Row],[Country]]="United States","US",Table1[[#This Row],[Country]]="United Kingdom","UK",TRUE,"EU")</f>
        <v>EU</v>
      </c>
      <c r="G601" cm="1">
        <f t="array" ref="G60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02" spans="1:7" x14ac:dyDescent="0.2">
      <c r="A602" t="s">
        <v>1099</v>
      </c>
      <c r="B602" t="s">
        <v>1609</v>
      </c>
      <c r="C602" t="s">
        <v>24</v>
      </c>
      <c r="D602" t="s">
        <v>25</v>
      </c>
      <c r="E602" t="s">
        <v>1640</v>
      </c>
      <c r="F602" t="str" cm="1">
        <f t="array" ref="F602">_xlfn.IFS(Table1[[#This Row],[Country]]="United States","US",Table1[[#This Row],[Country]]="United Kingdom","UK",TRUE,"EU")</f>
        <v>EU</v>
      </c>
      <c r="G602" cm="1">
        <f t="array" ref="G60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03" spans="1:7" x14ac:dyDescent="0.2">
      <c r="A603" t="s">
        <v>1100</v>
      </c>
      <c r="B603" t="s">
        <v>1713</v>
      </c>
      <c r="C603" t="s">
        <v>24</v>
      </c>
      <c r="D603" t="s">
        <v>16</v>
      </c>
      <c r="E603" t="s">
        <v>1640</v>
      </c>
      <c r="F603" t="str" cm="1">
        <f t="array" ref="F603">_xlfn.IFS(Table1[[#This Row],[Country]]="United States","US",Table1[[#This Row],[Country]]="United Kingdom","UK",TRUE,"EU")</f>
        <v>EU</v>
      </c>
      <c r="G603" cm="1">
        <f t="array" ref="G60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04" spans="1:7" x14ac:dyDescent="0.2">
      <c r="A604" t="s">
        <v>1101</v>
      </c>
      <c r="B604" t="s">
        <v>1714</v>
      </c>
      <c r="C604" t="s">
        <v>24</v>
      </c>
      <c r="D604" t="s">
        <v>16</v>
      </c>
      <c r="E604" t="s">
        <v>1715</v>
      </c>
      <c r="F604" t="str" cm="1">
        <f t="array" ref="F604">_xlfn.IFS(Table1[[#This Row],[Country]]="United States","US",Table1[[#This Row],[Country]]="United Kingdom","UK",TRUE,"EU")</f>
        <v>EU</v>
      </c>
      <c r="G604" cm="1">
        <f t="array" ref="G60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05" spans="1:7" x14ac:dyDescent="0.2">
      <c r="A605" t="s">
        <v>1102</v>
      </c>
      <c r="B605" t="s">
        <v>1716</v>
      </c>
      <c r="C605" t="s">
        <v>24</v>
      </c>
      <c r="D605" t="s">
        <v>25</v>
      </c>
      <c r="E605" t="s">
        <v>1717</v>
      </c>
      <c r="F605" t="str" cm="1">
        <f t="array" ref="F605">_xlfn.IFS(Table1[[#This Row],[Country]]="United States","US",Table1[[#This Row],[Country]]="United Kingdom","UK",TRUE,"EU")</f>
        <v>EU</v>
      </c>
      <c r="G605" cm="1">
        <f t="array" ref="G60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06" spans="1:7" x14ac:dyDescent="0.2">
      <c r="A606" t="s">
        <v>1103</v>
      </c>
      <c r="B606" t="s">
        <v>1718</v>
      </c>
      <c r="C606" t="s">
        <v>24</v>
      </c>
      <c r="D606" t="s">
        <v>118</v>
      </c>
      <c r="E606" t="s">
        <v>1650</v>
      </c>
      <c r="F606" t="str" cm="1">
        <f t="array" ref="F606">_xlfn.IFS(Table1[[#This Row],[Country]]="United States","US",Table1[[#This Row],[Country]]="United Kingdom","UK",TRUE,"EU")</f>
        <v>EU</v>
      </c>
      <c r="G606" cm="1">
        <f t="array" ref="G60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07" spans="1:7" x14ac:dyDescent="0.2">
      <c r="A607" t="s">
        <v>1104</v>
      </c>
      <c r="B607" t="s">
        <v>1719</v>
      </c>
      <c r="C607" t="s">
        <v>24</v>
      </c>
      <c r="D607" t="s">
        <v>25</v>
      </c>
      <c r="E607" t="s">
        <v>1582</v>
      </c>
      <c r="F607" t="str" cm="1">
        <f t="array" ref="F607">_xlfn.IFS(Table1[[#This Row],[Country]]="United States","US",Table1[[#This Row],[Country]]="United Kingdom","UK",TRUE,"EU")</f>
        <v>EU</v>
      </c>
      <c r="G607" cm="1">
        <f t="array" ref="G60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08" spans="1:7" x14ac:dyDescent="0.2">
      <c r="A608" t="s">
        <v>1105</v>
      </c>
      <c r="B608" t="s">
        <v>1720</v>
      </c>
      <c r="C608" t="s">
        <v>24</v>
      </c>
      <c r="D608" t="s">
        <v>18</v>
      </c>
      <c r="E608" t="s">
        <v>1640</v>
      </c>
      <c r="F608" t="str" cm="1">
        <f t="array" ref="F608">_xlfn.IFS(Table1[[#This Row],[Country]]="United States","US",Table1[[#This Row],[Country]]="United Kingdom","UK",TRUE,"EU")</f>
        <v>EU</v>
      </c>
      <c r="G608" cm="1">
        <f t="array" ref="G60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09" spans="1:7" x14ac:dyDescent="0.2">
      <c r="A609" t="s">
        <v>1106</v>
      </c>
      <c r="B609" t="s">
        <v>1721</v>
      </c>
      <c r="C609" t="s">
        <v>24</v>
      </c>
      <c r="D609" t="s">
        <v>16</v>
      </c>
      <c r="E609" t="s">
        <v>1626</v>
      </c>
      <c r="F609" t="str" cm="1">
        <f t="array" ref="F609">_xlfn.IFS(Table1[[#This Row],[Country]]="United States","US",Table1[[#This Row],[Country]]="United Kingdom","UK",TRUE,"EU")</f>
        <v>EU</v>
      </c>
      <c r="G609" cm="1">
        <f t="array" ref="G60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10" spans="1:7" x14ac:dyDescent="0.2">
      <c r="A610" t="s">
        <v>1107</v>
      </c>
      <c r="B610" t="s">
        <v>1722</v>
      </c>
      <c r="C610" t="s">
        <v>24</v>
      </c>
      <c r="D610" t="s">
        <v>7</v>
      </c>
      <c r="E610" t="s">
        <v>1621</v>
      </c>
      <c r="F610" t="str" cm="1">
        <f t="array" ref="F610">_xlfn.IFS(Table1[[#This Row],[Country]]="United States","US",Table1[[#This Row],[Country]]="United Kingdom","UK",TRUE,"EU")</f>
        <v>EU</v>
      </c>
      <c r="G610" cm="1">
        <f t="array" ref="G61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11" spans="1:7" x14ac:dyDescent="0.2">
      <c r="A611" t="s">
        <v>1108</v>
      </c>
      <c r="B611" t="s">
        <v>1723</v>
      </c>
      <c r="C611" t="s">
        <v>24</v>
      </c>
      <c r="D611" t="s">
        <v>25</v>
      </c>
      <c r="E611" t="s">
        <v>1582</v>
      </c>
      <c r="F611" t="str" cm="1">
        <f t="array" ref="F611">_xlfn.IFS(Table1[[#This Row],[Country]]="United States","US",Table1[[#This Row],[Country]]="United Kingdom","UK",TRUE,"EU")</f>
        <v>EU</v>
      </c>
      <c r="G611" cm="1">
        <f t="array" ref="G61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12" spans="1:7" x14ac:dyDescent="0.2">
      <c r="A612" t="s">
        <v>1109</v>
      </c>
      <c r="B612" t="s">
        <v>1724</v>
      </c>
      <c r="C612" t="s">
        <v>24</v>
      </c>
      <c r="D612" t="s">
        <v>118</v>
      </c>
      <c r="E612" t="s">
        <v>1650</v>
      </c>
      <c r="F612" t="str" cm="1">
        <f t="array" ref="F612">_xlfn.IFS(Table1[[#This Row],[Country]]="United States","US",Table1[[#This Row],[Country]]="United Kingdom","UK",TRUE,"EU")</f>
        <v>EU</v>
      </c>
      <c r="G612" cm="1">
        <f t="array" ref="G61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13" spans="1:7" x14ac:dyDescent="0.2">
      <c r="A613" t="s">
        <v>1110</v>
      </c>
      <c r="B613" t="s">
        <v>1725</v>
      </c>
      <c r="C613" t="s">
        <v>24</v>
      </c>
      <c r="D613" t="s">
        <v>7</v>
      </c>
      <c r="E613" t="s">
        <v>1584</v>
      </c>
      <c r="F613" t="str" cm="1">
        <f t="array" ref="F613">_xlfn.IFS(Table1[[#This Row],[Country]]="United States","US",Table1[[#This Row],[Country]]="United Kingdom","UK",TRUE,"EU")</f>
        <v>EU</v>
      </c>
      <c r="G613" cm="1">
        <f t="array" ref="G61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14" spans="1:7" x14ac:dyDescent="0.2">
      <c r="A614" t="s">
        <v>1111</v>
      </c>
      <c r="B614" t="s">
        <v>1609</v>
      </c>
      <c r="C614" t="s">
        <v>24</v>
      </c>
      <c r="D614" t="s">
        <v>42</v>
      </c>
      <c r="E614" t="s">
        <v>1640</v>
      </c>
      <c r="F614" t="str" cm="1">
        <f t="array" ref="F614">_xlfn.IFS(Table1[[#This Row],[Country]]="United States","US",Table1[[#This Row],[Country]]="United Kingdom","UK",TRUE,"EU")</f>
        <v>EU</v>
      </c>
      <c r="G614" cm="1">
        <f t="array" ref="G61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15" spans="1:7" x14ac:dyDescent="0.2">
      <c r="A615" t="s">
        <v>1112</v>
      </c>
      <c r="B615" t="s">
        <v>1726</v>
      </c>
      <c r="C615" t="s">
        <v>24</v>
      </c>
      <c r="D615" t="s">
        <v>7</v>
      </c>
      <c r="E615" t="s">
        <v>1588</v>
      </c>
      <c r="F615" t="str" cm="1">
        <f t="array" ref="F615">_xlfn.IFS(Table1[[#This Row],[Country]]="United States","US",Table1[[#This Row],[Country]]="United Kingdom","UK",TRUE,"EU")</f>
        <v>EU</v>
      </c>
      <c r="G615" cm="1">
        <f t="array" ref="G61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16" spans="1:7" x14ac:dyDescent="0.2">
      <c r="A616" t="s">
        <v>1113</v>
      </c>
      <c r="B616" t="s">
        <v>1727</v>
      </c>
      <c r="C616" t="s">
        <v>24</v>
      </c>
      <c r="D616" t="s">
        <v>118</v>
      </c>
      <c r="E616" t="s">
        <v>1640</v>
      </c>
      <c r="F616" t="str" cm="1">
        <f t="array" ref="F616">_xlfn.IFS(Table1[[#This Row],[Country]]="United States","US",Table1[[#This Row],[Country]]="United Kingdom","UK",TRUE,"EU")</f>
        <v>EU</v>
      </c>
      <c r="G616" cm="1">
        <f t="array" ref="G61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17" spans="1:7" x14ac:dyDescent="0.2">
      <c r="A617" t="s">
        <v>1114</v>
      </c>
      <c r="B617" t="s">
        <v>1728</v>
      </c>
      <c r="C617" t="s">
        <v>24</v>
      </c>
      <c r="D617" t="s">
        <v>25</v>
      </c>
      <c r="E617" t="s">
        <v>1668</v>
      </c>
      <c r="F617" t="str" cm="1">
        <f t="array" ref="F617">_xlfn.IFS(Table1[[#This Row],[Country]]="United States","US",Table1[[#This Row],[Country]]="United Kingdom","UK",TRUE,"EU")</f>
        <v>EU</v>
      </c>
      <c r="G617" cm="1">
        <f t="array" ref="G61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18" spans="1:7" x14ac:dyDescent="0.2">
      <c r="A618" t="s">
        <v>1115</v>
      </c>
      <c r="B618" t="s">
        <v>1729</v>
      </c>
      <c r="C618" t="s">
        <v>24</v>
      </c>
      <c r="D618" t="s">
        <v>18</v>
      </c>
      <c r="E618" t="s">
        <v>1640</v>
      </c>
      <c r="F618" t="str" cm="1">
        <f t="array" ref="F618">_xlfn.IFS(Table1[[#This Row],[Country]]="United States","US",Table1[[#This Row],[Country]]="United Kingdom","UK",TRUE,"EU")</f>
        <v>EU</v>
      </c>
      <c r="G618" cm="1">
        <f t="array" ref="G61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19" spans="1:7" x14ac:dyDescent="0.2">
      <c r="A619" t="s">
        <v>1116</v>
      </c>
      <c r="B619" t="s">
        <v>1730</v>
      </c>
      <c r="C619" t="s">
        <v>24</v>
      </c>
      <c r="D619" t="s">
        <v>16</v>
      </c>
      <c r="E619" t="s">
        <v>1601</v>
      </c>
      <c r="F619" t="str" cm="1">
        <f t="array" ref="F619">_xlfn.IFS(Table1[[#This Row],[Country]]="United States","US",Table1[[#This Row],[Country]]="United Kingdom","UK",TRUE,"EU")</f>
        <v>EU</v>
      </c>
      <c r="G619" cm="1">
        <f t="array" ref="G61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20" spans="1:7" x14ac:dyDescent="0.2">
      <c r="A620" t="s">
        <v>1117</v>
      </c>
      <c r="B620" t="s">
        <v>1731</v>
      </c>
      <c r="C620" t="s">
        <v>24</v>
      </c>
      <c r="D620" t="s">
        <v>191</v>
      </c>
      <c r="E620" t="s">
        <v>1626</v>
      </c>
      <c r="F620" t="str" cm="1">
        <f t="array" ref="F620">_xlfn.IFS(Table1[[#This Row],[Country]]="United States","US",Table1[[#This Row],[Country]]="United Kingdom","UK",TRUE,"EU")</f>
        <v>EU</v>
      </c>
      <c r="G620" cm="1">
        <f t="array" ref="G62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621" spans="1:7" x14ac:dyDescent="0.2">
      <c r="A621" t="s">
        <v>1118</v>
      </c>
      <c r="B621" t="s">
        <v>1732</v>
      </c>
      <c r="C621" t="s">
        <v>24</v>
      </c>
      <c r="D621" t="s">
        <v>25</v>
      </c>
      <c r="E621" t="s">
        <v>1582</v>
      </c>
      <c r="F621" t="str" cm="1">
        <f t="array" ref="F621">_xlfn.IFS(Table1[[#This Row],[Country]]="United States","US",Table1[[#This Row],[Country]]="United Kingdom","UK",TRUE,"EU")</f>
        <v>EU</v>
      </c>
      <c r="G621" cm="1">
        <f t="array" ref="G62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22" spans="1:7" x14ac:dyDescent="0.2">
      <c r="A622" t="s">
        <v>1119</v>
      </c>
      <c r="B622" t="s">
        <v>1733</v>
      </c>
      <c r="C622" t="s">
        <v>24</v>
      </c>
      <c r="D622" t="s">
        <v>16</v>
      </c>
      <c r="E622" t="s">
        <v>1640</v>
      </c>
      <c r="F622" t="str" cm="1">
        <f t="array" ref="F622">_xlfn.IFS(Table1[[#This Row],[Country]]="United States","US",Table1[[#This Row],[Country]]="United Kingdom","UK",TRUE,"EU")</f>
        <v>EU</v>
      </c>
      <c r="G622" cm="1">
        <f t="array" ref="G62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23" spans="1:7" x14ac:dyDescent="0.2">
      <c r="A623" t="s">
        <v>1120</v>
      </c>
      <c r="B623" t="s">
        <v>1734</v>
      </c>
      <c r="C623" t="s">
        <v>6</v>
      </c>
      <c r="D623" t="s">
        <v>25</v>
      </c>
      <c r="E623" t="s">
        <v>1635</v>
      </c>
      <c r="F623" t="str" cm="1">
        <f t="array" ref="F623">_xlfn.IFS(Table1[[#This Row],[Country]]="United States","US",Table1[[#This Row],[Country]]="United Kingdom","UK",TRUE,"EU")</f>
        <v>EU</v>
      </c>
      <c r="G623" cm="1">
        <f t="array" ref="G62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24" spans="1:7" x14ac:dyDescent="0.2">
      <c r="A624" t="s">
        <v>1121</v>
      </c>
      <c r="B624" t="s">
        <v>1735</v>
      </c>
      <c r="C624" t="s">
        <v>6</v>
      </c>
      <c r="D624" t="s">
        <v>11</v>
      </c>
      <c r="E624" t="s">
        <v>1650</v>
      </c>
      <c r="F624" t="str" cm="1">
        <f t="array" ref="F624">_xlfn.IFS(Table1[[#This Row],[Country]]="United States","US",Table1[[#This Row],[Country]]="United Kingdom","UK",TRUE,"EU")</f>
        <v>EU</v>
      </c>
      <c r="G624" cm="1">
        <f t="array" ref="G62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625" spans="1:7" x14ac:dyDescent="0.2">
      <c r="A625" t="s">
        <v>1122</v>
      </c>
      <c r="B625" t="s">
        <v>1736</v>
      </c>
      <c r="C625" t="s">
        <v>6</v>
      </c>
      <c r="D625" t="s">
        <v>7</v>
      </c>
      <c r="E625" t="s">
        <v>1588</v>
      </c>
      <c r="F625" t="str" cm="1">
        <f t="array" ref="F625">_xlfn.IFS(Table1[[#This Row],[Country]]="United States","US",Table1[[#This Row],[Country]]="United Kingdom","UK",TRUE,"EU")</f>
        <v>EU</v>
      </c>
      <c r="G625" cm="1">
        <f t="array" ref="G62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26" spans="1:7" x14ac:dyDescent="0.2">
      <c r="A626" t="s">
        <v>1123</v>
      </c>
      <c r="B626" t="s">
        <v>1737</v>
      </c>
      <c r="C626" t="s">
        <v>6</v>
      </c>
      <c r="D626" t="s">
        <v>7</v>
      </c>
      <c r="E626" t="s">
        <v>1738</v>
      </c>
      <c r="F626" t="str" cm="1">
        <f t="array" ref="F626">_xlfn.IFS(Table1[[#This Row],[Country]]="United States","US",Table1[[#This Row],[Country]]="United Kingdom","UK",TRUE,"EU")</f>
        <v>EU</v>
      </c>
      <c r="G626" cm="1">
        <f t="array" ref="G62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27" spans="1:7" x14ac:dyDescent="0.2">
      <c r="A627" t="s">
        <v>1124</v>
      </c>
      <c r="B627" t="s">
        <v>1739</v>
      </c>
      <c r="C627" t="s">
        <v>6</v>
      </c>
      <c r="D627" t="s">
        <v>7</v>
      </c>
      <c r="E627" t="s">
        <v>1588</v>
      </c>
      <c r="F627" t="str" cm="1">
        <f t="array" ref="F627">_xlfn.IFS(Table1[[#This Row],[Country]]="United States","US",Table1[[#This Row],[Country]]="United Kingdom","UK",TRUE,"EU")</f>
        <v>EU</v>
      </c>
      <c r="G627" cm="1">
        <f t="array" ref="G62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28" spans="1:7" x14ac:dyDescent="0.2">
      <c r="A628" t="s">
        <v>1125</v>
      </c>
      <c r="B628" t="s">
        <v>1740</v>
      </c>
      <c r="C628" t="s">
        <v>6</v>
      </c>
      <c r="D628" t="s">
        <v>25</v>
      </c>
      <c r="E628" t="s">
        <v>1650</v>
      </c>
      <c r="F628" t="str" cm="1">
        <f t="array" ref="F628">_xlfn.IFS(Table1[[#This Row],[Country]]="United States","US",Table1[[#This Row],[Country]]="United Kingdom","UK",TRUE,"EU")</f>
        <v>EU</v>
      </c>
      <c r="G628" cm="1">
        <f t="array" ref="G62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29" spans="1:7" x14ac:dyDescent="0.2">
      <c r="A629" t="s">
        <v>1126</v>
      </c>
      <c r="B629" t="s">
        <v>1741</v>
      </c>
      <c r="C629" t="s">
        <v>6</v>
      </c>
      <c r="D629" t="s">
        <v>7</v>
      </c>
      <c r="E629" t="s">
        <v>1584</v>
      </c>
      <c r="F629" t="str" cm="1">
        <f t="array" ref="F629">_xlfn.IFS(Table1[[#This Row],[Country]]="United States","US",Table1[[#This Row],[Country]]="United Kingdom","UK",TRUE,"EU")</f>
        <v>EU</v>
      </c>
      <c r="G629" cm="1">
        <f t="array" ref="G62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30" spans="1:7" x14ac:dyDescent="0.2">
      <c r="A630" t="s">
        <v>1127</v>
      </c>
      <c r="B630" t="s">
        <v>1742</v>
      </c>
      <c r="C630" t="s">
        <v>6</v>
      </c>
      <c r="D630" t="s">
        <v>18</v>
      </c>
      <c r="E630" t="s">
        <v>1668</v>
      </c>
      <c r="F630" t="str" cm="1">
        <f t="array" ref="F630">_xlfn.IFS(Table1[[#This Row],[Country]]="United States","US",Table1[[#This Row],[Country]]="United Kingdom","UK",TRUE,"EU")</f>
        <v>EU</v>
      </c>
      <c r="G630" cm="1">
        <f t="array" ref="G63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31" spans="1:7" x14ac:dyDescent="0.2">
      <c r="A631" t="s">
        <v>1128</v>
      </c>
      <c r="B631" t="s">
        <v>1743</v>
      </c>
      <c r="C631" t="s">
        <v>6</v>
      </c>
      <c r="D631" t="s">
        <v>16</v>
      </c>
      <c r="E631" t="s">
        <v>1588</v>
      </c>
      <c r="F631" t="str" cm="1">
        <f t="array" ref="F631">_xlfn.IFS(Table1[[#This Row],[Country]]="United States","US",Table1[[#This Row],[Country]]="United Kingdom","UK",TRUE,"EU")</f>
        <v>EU</v>
      </c>
      <c r="G631" cm="1">
        <f t="array" ref="G63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32" spans="1:7" x14ac:dyDescent="0.2">
      <c r="A632" t="s">
        <v>1129</v>
      </c>
      <c r="B632" t="s">
        <v>1743</v>
      </c>
      <c r="C632" t="s">
        <v>6</v>
      </c>
      <c r="D632" t="s">
        <v>16</v>
      </c>
      <c r="E632" t="s">
        <v>1588</v>
      </c>
      <c r="F632" t="str" cm="1">
        <f t="array" ref="F632">_xlfn.IFS(Table1[[#This Row],[Country]]="United States","US",Table1[[#This Row],[Country]]="United Kingdom","UK",TRUE,"EU")</f>
        <v>EU</v>
      </c>
      <c r="G632" cm="1">
        <f t="array" ref="G63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33" spans="1:7" x14ac:dyDescent="0.2">
      <c r="A633" t="s">
        <v>1130</v>
      </c>
      <c r="B633" t="s">
        <v>1744</v>
      </c>
      <c r="C633" t="s">
        <v>6</v>
      </c>
      <c r="D633" t="s">
        <v>1044</v>
      </c>
      <c r="E633" t="s">
        <v>1574</v>
      </c>
      <c r="F633" t="str" cm="1">
        <f t="array" ref="F633">_xlfn.IFS(Table1[[#This Row],[Country]]="United States","US",Table1[[#This Row],[Country]]="United Kingdom","UK",TRUE,"EU")</f>
        <v>US</v>
      </c>
      <c r="G633" t="str" cm="1">
        <f t="array" ref="G63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n.a.</v>
      </c>
    </row>
    <row r="634" spans="1:7" x14ac:dyDescent="0.2">
      <c r="A634" t="s">
        <v>1131</v>
      </c>
      <c r="B634" t="s">
        <v>1745</v>
      </c>
      <c r="C634" t="s">
        <v>6</v>
      </c>
      <c r="D634" t="s">
        <v>18</v>
      </c>
      <c r="E634" t="s">
        <v>1599</v>
      </c>
      <c r="F634" t="str" cm="1">
        <f t="array" ref="F634">_xlfn.IFS(Table1[[#This Row],[Country]]="United States","US",Table1[[#This Row],[Country]]="United Kingdom","UK",TRUE,"EU")</f>
        <v>EU</v>
      </c>
      <c r="G634" cm="1">
        <f t="array" ref="G63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35" spans="1:7" x14ac:dyDescent="0.2">
      <c r="A635" t="s">
        <v>1132</v>
      </c>
      <c r="B635" t="s">
        <v>1746</v>
      </c>
      <c r="C635" t="s">
        <v>6</v>
      </c>
      <c r="D635" t="s">
        <v>18</v>
      </c>
      <c r="E635" t="s">
        <v>1747</v>
      </c>
      <c r="F635" t="str" cm="1">
        <f t="array" ref="F635">_xlfn.IFS(Table1[[#This Row],[Country]]="United States","US",Table1[[#This Row],[Country]]="United Kingdom","UK",TRUE,"EU")</f>
        <v>EU</v>
      </c>
      <c r="G635" cm="1">
        <f t="array" ref="G63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36" spans="1:7" x14ac:dyDescent="0.2">
      <c r="A636" t="s">
        <v>1133</v>
      </c>
      <c r="B636" t="s">
        <v>1748</v>
      </c>
      <c r="C636" t="s">
        <v>6</v>
      </c>
      <c r="D636" t="s">
        <v>16</v>
      </c>
      <c r="E636" t="s">
        <v>1588</v>
      </c>
      <c r="F636" t="str" cm="1">
        <f t="array" ref="F636">_xlfn.IFS(Table1[[#This Row],[Country]]="United States","US",Table1[[#This Row],[Country]]="United Kingdom","UK",TRUE,"EU")</f>
        <v>EU</v>
      </c>
      <c r="G636" cm="1">
        <f t="array" ref="G63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37" spans="1:7" x14ac:dyDescent="0.2">
      <c r="A637" t="s">
        <v>1134</v>
      </c>
      <c r="B637" t="s">
        <v>1749</v>
      </c>
      <c r="C637" t="s">
        <v>6</v>
      </c>
      <c r="D637" t="s">
        <v>42</v>
      </c>
      <c r="E637" t="s">
        <v>1650</v>
      </c>
      <c r="F637" t="str" cm="1">
        <f t="array" ref="F637">_xlfn.IFS(Table1[[#This Row],[Country]]="United States","US",Table1[[#This Row],[Country]]="United Kingdom","UK",TRUE,"EU")</f>
        <v>EU</v>
      </c>
      <c r="G637" cm="1">
        <f t="array" ref="G63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38" spans="1:7" x14ac:dyDescent="0.2">
      <c r="A638" t="s">
        <v>1135</v>
      </c>
      <c r="B638" t="s">
        <v>1750</v>
      </c>
      <c r="C638" t="s">
        <v>6</v>
      </c>
      <c r="D638" t="s">
        <v>7</v>
      </c>
      <c r="E638" t="s">
        <v>1751</v>
      </c>
      <c r="F638" t="str" cm="1">
        <f t="array" ref="F638">_xlfn.IFS(Table1[[#This Row],[Country]]="United States","US",Table1[[#This Row],[Country]]="United Kingdom","UK",TRUE,"EU")</f>
        <v>EU</v>
      </c>
      <c r="G638" cm="1">
        <f t="array" ref="G63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39" spans="1:7" x14ac:dyDescent="0.2">
      <c r="A639" t="s">
        <v>1136</v>
      </c>
      <c r="B639" t="s">
        <v>1752</v>
      </c>
      <c r="C639" t="s">
        <v>6</v>
      </c>
      <c r="D639" t="s">
        <v>18</v>
      </c>
      <c r="E639" t="s">
        <v>1588</v>
      </c>
      <c r="F639" t="str" cm="1">
        <f t="array" ref="F639">_xlfn.IFS(Table1[[#This Row],[Country]]="United States","US",Table1[[#This Row],[Country]]="United Kingdom","UK",TRUE,"EU")</f>
        <v>EU</v>
      </c>
      <c r="G639" cm="1">
        <f t="array" ref="G63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40" spans="1:7" x14ac:dyDescent="0.2">
      <c r="A640" t="s">
        <v>1137</v>
      </c>
      <c r="B640" t="s">
        <v>1753</v>
      </c>
      <c r="C640" t="s">
        <v>6</v>
      </c>
      <c r="D640" t="s">
        <v>7</v>
      </c>
      <c r="E640" t="s">
        <v>1621</v>
      </c>
      <c r="F640" t="str" cm="1">
        <f t="array" ref="F640">_xlfn.IFS(Table1[[#This Row],[Country]]="United States","US",Table1[[#This Row],[Country]]="United Kingdom","UK",TRUE,"EU")</f>
        <v>EU</v>
      </c>
      <c r="G640" cm="1">
        <f t="array" ref="G64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41" spans="1:7" x14ac:dyDescent="0.2">
      <c r="A641" t="s">
        <v>1138</v>
      </c>
      <c r="B641" t="s">
        <v>1754</v>
      </c>
      <c r="C641" t="s">
        <v>6</v>
      </c>
      <c r="D641" t="s">
        <v>25</v>
      </c>
      <c r="E641" t="s">
        <v>1619</v>
      </c>
      <c r="F641" t="str" cm="1">
        <f t="array" ref="F641">_xlfn.IFS(Table1[[#This Row],[Country]]="United States","US",Table1[[#This Row],[Country]]="United Kingdom","UK",TRUE,"EU")</f>
        <v>EU</v>
      </c>
      <c r="G641" cm="1">
        <f t="array" ref="G64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42" spans="1:7" x14ac:dyDescent="0.2">
      <c r="A642" t="s">
        <v>1139</v>
      </c>
      <c r="B642" t="s">
        <v>1755</v>
      </c>
      <c r="C642" t="s">
        <v>6</v>
      </c>
      <c r="D642" t="s">
        <v>16</v>
      </c>
      <c r="E642" t="s">
        <v>1588</v>
      </c>
      <c r="F642" t="str" cm="1">
        <f t="array" ref="F642">_xlfn.IFS(Table1[[#This Row],[Country]]="United States","US",Table1[[#This Row],[Country]]="United Kingdom","UK",TRUE,"EU")</f>
        <v>EU</v>
      </c>
      <c r="G642" cm="1">
        <f t="array" ref="G64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43" spans="1:7" x14ac:dyDescent="0.2">
      <c r="A643" t="s">
        <v>1140</v>
      </c>
      <c r="B643" t="s">
        <v>1756</v>
      </c>
      <c r="C643" t="s">
        <v>6</v>
      </c>
      <c r="D643" t="s">
        <v>25</v>
      </c>
      <c r="E643" t="s">
        <v>1588</v>
      </c>
      <c r="F643" t="str" cm="1">
        <f t="array" ref="F643">_xlfn.IFS(Table1[[#This Row],[Country]]="United States","US",Table1[[#This Row],[Country]]="United Kingdom","UK",TRUE,"EU")</f>
        <v>EU</v>
      </c>
      <c r="G643" cm="1">
        <f t="array" ref="G64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44" spans="1:7" x14ac:dyDescent="0.2">
      <c r="A644" t="s">
        <v>1141</v>
      </c>
      <c r="B644" t="s">
        <v>1757</v>
      </c>
      <c r="C644" t="s">
        <v>6</v>
      </c>
      <c r="D644" t="s">
        <v>7</v>
      </c>
      <c r="E644" t="s">
        <v>1698</v>
      </c>
      <c r="F644" t="str" cm="1">
        <f t="array" ref="F644">_xlfn.IFS(Table1[[#This Row],[Country]]="United States","US",Table1[[#This Row],[Country]]="United Kingdom","UK",TRUE,"EU")</f>
        <v>EU</v>
      </c>
      <c r="G644" cm="1">
        <f t="array" ref="G64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45" spans="1:7" x14ac:dyDescent="0.2">
      <c r="A645" t="s">
        <v>1142</v>
      </c>
      <c r="B645" t="s">
        <v>1758</v>
      </c>
      <c r="C645" t="s">
        <v>6</v>
      </c>
      <c r="D645" t="s">
        <v>33</v>
      </c>
      <c r="E645" t="s">
        <v>1588</v>
      </c>
      <c r="F645" t="str" cm="1">
        <f t="array" ref="F645">_xlfn.IFS(Table1[[#This Row],[Country]]="United States","US",Table1[[#This Row],[Country]]="United Kingdom","UK",TRUE,"EU")</f>
        <v>EU</v>
      </c>
      <c r="G645" cm="1">
        <f t="array" ref="G64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646" spans="1:7" x14ac:dyDescent="0.2">
      <c r="A646" t="s">
        <v>1143</v>
      </c>
      <c r="B646" t="s">
        <v>1759</v>
      </c>
      <c r="C646" t="s">
        <v>6</v>
      </c>
      <c r="D646" t="s">
        <v>16</v>
      </c>
      <c r="E646" t="s">
        <v>1599</v>
      </c>
      <c r="F646" t="str" cm="1">
        <f t="array" ref="F646">_xlfn.IFS(Table1[[#This Row],[Country]]="United States","US",Table1[[#This Row],[Country]]="United Kingdom","UK",TRUE,"EU")</f>
        <v>EU</v>
      </c>
      <c r="G646" cm="1">
        <f t="array" ref="G64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47" spans="1:7" x14ac:dyDescent="0.2">
      <c r="A647" t="s">
        <v>1144</v>
      </c>
      <c r="B647" t="s">
        <v>1760</v>
      </c>
      <c r="C647" t="s">
        <v>6</v>
      </c>
      <c r="D647" t="s">
        <v>7</v>
      </c>
      <c r="E647" t="s">
        <v>1588</v>
      </c>
      <c r="F647" t="str" cm="1">
        <f t="array" ref="F647">_xlfn.IFS(Table1[[#This Row],[Country]]="United States","US",Table1[[#This Row],[Country]]="United Kingdom","UK",TRUE,"EU")</f>
        <v>EU</v>
      </c>
      <c r="G647" cm="1">
        <f t="array" ref="G64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48" spans="1:7" x14ac:dyDescent="0.2">
      <c r="A648" t="s">
        <v>1145</v>
      </c>
      <c r="B648" t="s">
        <v>1761</v>
      </c>
      <c r="C648" t="s">
        <v>6</v>
      </c>
      <c r="D648" t="s">
        <v>18</v>
      </c>
      <c r="E648" t="s">
        <v>1588</v>
      </c>
      <c r="F648" t="str" cm="1">
        <f t="array" ref="F648">_xlfn.IFS(Table1[[#This Row],[Country]]="United States","US",Table1[[#This Row],[Country]]="United Kingdom","UK",TRUE,"EU")</f>
        <v>EU</v>
      </c>
      <c r="G648" cm="1">
        <f t="array" ref="G64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49" spans="1:7" x14ac:dyDescent="0.2">
      <c r="A649" t="s">
        <v>1146</v>
      </c>
      <c r="B649" t="s">
        <v>1762</v>
      </c>
      <c r="C649" t="s">
        <v>6</v>
      </c>
      <c r="D649" t="s">
        <v>25</v>
      </c>
      <c r="E649" t="s">
        <v>1588</v>
      </c>
      <c r="F649" t="str" cm="1">
        <f t="array" ref="F649">_xlfn.IFS(Table1[[#This Row],[Country]]="United States","US",Table1[[#This Row],[Country]]="United Kingdom","UK",TRUE,"EU")</f>
        <v>EU</v>
      </c>
      <c r="G649" cm="1">
        <f t="array" ref="G64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50" spans="1:7" x14ac:dyDescent="0.2">
      <c r="A650" t="s">
        <v>1147</v>
      </c>
      <c r="B650" t="s">
        <v>1763</v>
      </c>
      <c r="C650" t="s">
        <v>6</v>
      </c>
      <c r="D650" t="s">
        <v>11</v>
      </c>
      <c r="E650" t="s">
        <v>1599</v>
      </c>
      <c r="F650" t="str" cm="1">
        <f t="array" ref="F650">_xlfn.IFS(Table1[[#This Row],[Country]]="United States","US",Table1[[#This Row],[Country]]="United Kingdom","UK",TRUE,"EU")</f>
        <v>EU</v>
      </c>
      <c r="G650" cm="1">
        <f t="array" ref="G65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651" spans="1:7" x14ac:dyDescent="0.2">
      <c r="A651" t="s">
        <v>1148</v>
      </c>
      <c r="B651" t="s">
        <v>1764</v>
      </c>
      <c r="C651" t="s">
        <v>6</v>
      </c>
      <c r="D651" t="s">
        <v>25</v>
      </c>
      <c r="E651" t="s">
        <v>1582</v>
      </c>
      <c r="F651" t="str" cm="1">
        <f t="array" ref="F651">_xlfn.IFS(Table1[[#This Row],[Country]]="United States","US",Table1[[#This Row],[Country]]="United Kingdom","UK",TRUE,"EU")</f>
        <v>EU</v>
      </c>
      <c r="G651" cm="1">
        <f t="array" ref="G65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52" spans="1:7" x14ac:dyDescent="0.2">
      <c r="A652" t="s">
        <v>1149</v>
      </c>
      <c r="B652" t="s">
        <v>1149</v>
      </c>
      <c r="C652" t="s">
        <v>6</v>
      </c>
      <c r="D652" t="s">
        <v>7</v>
      </c>
      <c r="E652" t="s">
        <v>1599</v>
      </c>
      <c r="F652" t="str" cm="1">
        <f t="array" ref="F652">_xlfn.IFS(Table1[[#This Row],[Country]]="United States","US",Table1[[#This Row],[Country]]="United Kingdom","UK",TRUE,"EU")</f>
        <v>EU</v>
      </c>
      <c r="G652" cm="1">
        <f t="array" ref="G65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53" spans="1:7" x14ac:dyDescent="0.2">
      <c r="A653" t="s">
        <v>1150</v>
      </c>
      <c r="B653" t="s">
        <v>1765</v>
      </c>
      <c r="C653" t="s">
        <v>6</v>
      </c>
      <c r="D653" t="s">
        <v>25</v>
      </c>
      <c r="E653" t="s">
        <v>1619</v>
      </c>
      <c r="F653" t="str" cm="1">
        <f t="array" ref="F653">_xlfn.IFS(Table1[[#This Row],[Country]]="United States","US",Table1[[#This Row],[Country]]="United Kingdom","UK",TRUE,"EU")</f>
        <v>EU</v>
      </c>
      <c r="G653" cm="1">
        <f t="array" ref="G65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54" spans="1:7" x14ac:dyDescent="0.2">
      <c r="A654" t="s">
        <v>1151</v>
      </c>
      <c r="B654" t="s">
        <v>1766</v>
      </c>
      <c r="C654" t="s">
        <v>6</v>
      </c>
      <c r="D654" t="s">
        <v>21</v>
      </c>
      <c r="E654" t="s">
        <v>1640</v>
      </c>
      <c r="F654" t="str" cm="1">
        <f t="array" ref="F654">_xlfn.IFS(Table1[[#This Row],[Country]]="United States","US",Table1[[#This Row],[Country]]="United Kingdom","UK",TRUE,"EU")</f>
        <v>EU</v>
      </c>
      <c r="G654" cm="1">
        <f t="array" ref="G65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55" spans="1:7" x14ac:dyDescent="0.2">
      <c r="A655" t="s">
        <v>1152</v>
      </c>
      <c r="B655" t="s">
        <v>1767</v>
      </c>
      <c r="C655" t="s">
        <v>6</v>
      </c>
      <c r="D655" t="s">
        <v>33</v>
      </c>
      <c r="E655" t="s">
        <v>1635</v>
      </c>
      <c r="F655" t="str" cm="1">
        <f t="array" ref="F655">_xlfn.IFS(Table1[[#This Row],[Country]]="United States","US",Table1[[#This Row],[Country]]="United Kingdom","UK",TRUE,"EU")</f>
        <v>EU</v>
      </c>
      <c r="G655" cm="1">
        <f t="array" ref="G65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656" spans="1:7" x14ac:dyDescent="0.2">
      <c r="A656" t="s">
        <v>1153</v>
      </c>
      <c r="B656" t="s">
        <v>1768</v>
      </c>
      <c r="C656" t="s">
        <v>6</v>
      </c>
      <c r="D656" t="s">
        <v>18</v>
      </c>
      <c r="E656" t="s">
        <v>1635</v>
      </c>
      <c r="F656" t="str" cm="1">
        <f t="array" ref="F656">_xlfn.IFS(Table1[[#This Row],[Country]]="United States","US",Table1[[#This Row],[Country]]="United Kingdom","UK",TRUE,"EU")</f>
        <v>EU</v>
      </c>
      <c r="G656" cm="1">
        <f t="array" ref="G65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57" spans="1:7" x14ac:dyDescent="0.2">
      <c r="A657" t="s">
        <v>1154</v>
      </c>
      <c r="B657" t="s">
        <v>1769</v>
      </c>
      <c r="C657" t="s">
        <v>6</v>
      </c>
      <c r="D657" t="s">
        <v>18</v>
      </c>
      <c r="E657" t="s">
        <v>1715</v>
      </c>
      <c r="F657" t="str" cm="1">
        <f t="array" ref="F657">_xlfn.IFS(Table1[[#This Row],[Country]]="United States","US",Table1[[#This Row],[Country]]="United Kingdom","UK",TRUE,"EU")</f>
        <v>EU</v>
      </c>
      <c r="G657" cm="1">
        <f t="array" ref="G65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58" spans="1:7" x14ac:dyDescent="0.2">
      <c r="A658" t="s">
        <v>1155</v>
      </c>
      <c r="B658" t="s">
        <v>1770</v>
      </c>
      <c r="C658" t="s">
        <v>6</v>
      </c>
      <c r="D658" t="s">
        <v>21</v>
      </c>
      <c r="E658" t="s">
        <v>1654</v>
      </c>
      <c r="F658" t="str" cm="1">
        <f t="array" ref="F658">_xlfn.IFS(Table1[[#This Row],[Country]]="United States","US",Table1[[#This Row],[Country]]="United Kingdom","UK",TRUE,"EU")</f>
        <v>EU</v>
      </c>
      <c r="G658" cm="1">
        <f t="array" ref="G65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59" spans="1:7" x14ac:dyDescent="0.2">
      <c r="A659" t="s">
        <v>1156</v>
      </c>
      <c r="B659" t="s">
        <v>1771</v>
      </c>
      <c r="C659" t="s">
        <v>6</v>
      </c>
      <c r="D659" t="s">
        <v>42</v>
      </c>
      <c r="E659" t="s">
        <v>1621</v>
      </c>
      <c r="F659" t="str" cm="1">
        <f t="array" ref="F659">_xlfn.IFS(Table1[[#This Row],[Country]]="United States","US",Table1[[#This Row],[Country]]="United Kingdom","UK",TRUE,"EU")</f>
        <v>EU</v>
      </c>
      <c r="G659" cm="1">
        <f t="array" ref="G65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60" spans="1:7" x14ac:dyDescent="0.2">
      <c r="A660" t="s">
        <v>1157</v>
      </c>
      <c r="B660" t="s">
        <v>1772</v>
      </c>
      <c r="C660" t="s">
        <v>6</v>
      </c>
      <c r="D660" t="s">
        <v>16</v>
      </c>
      <c r="E660" t="s">
        <v>1640</v>
      </c>
      <c r="F660" t="str" cm="1">
        <f t="array" ref="F660">_xlfn.IFS(Table1[[#This Row],[Country]]="United States","US",Table1[[#This Row],[Country]]="United Kingdom","UK",TRUE,"EU")</f>
        <v>EU</v>
      </c>
      <c r="G660" cm="1">
        <f t="array" ref="G66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61" spans="1:7" x14ac:dyDescent="0.2">
      <c r="A661" t="s">
        <v>1158</v>
      </c>
      <c r="B661" t="s">
        <v>1773</v>
      </c>
      <c r="C661" t="s">
        <v>6</v>
      </c>
      <c r="D661" t="s">
        <v>7</v>
      </c>
      <c r="E661" t="s">
        <v>1650</v>
      </c>
      <c r="F661" t="str" cm="1">
        <f t="array" ref="F661">_xlfn.IFS(Table1[[#This Row],[Country]]="United States","US",Table1[[#This Row],[Country]]="United Kingdom","UK",TRUE,"EU")</f>
        <v>EU</v>
      </c>
      <c r="G661" cm="1">
        <f t="array" ref="G66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62" spans="1:7" x14ac:dyDescent="0.2">
      <c r="A662" t="s">
        <v>1159</v>
      </c>
      <c r="B662" t="s">
        <v>1774</v>
      </c>
      <c r="C662" t="s">
        <v>6</v>
      </c>
      <c r="D662" t="s">
        <v>25</v>
      </c>
      <c r="E662" t="s">
        <v>1582</v>
      </c>
      <c r="F662" t="str" cm="1">
        <f t="array" ref="F662">_xlfn.IFS(Table1[[#This Row],[Country]]="United States","US",Table1[[#This Row],[Country]]="United Kingdom","UK",TRUE,"EU")</f>
        <v>EU</v>
      </c>
      <c r="G662" cm="1">
        <f t="array" ref="G66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63" spans="1:7" x14ac:dyDescent="0.2">
      <c r="A663" t="s">
        <v>1160</v>
      </c>
      <c r="B663" t="s">
        <v>1775</v>
      </c>
      <c r="C663" t="s">
        <v>6</v>
      </c>
      <c r="D663" t="s">
        <v>25</v>
      </c>
      <c r="E663" t="s">
        <v>1582</v>
      </c>
      <c r="F663" t="str" cm="1">
        <f t="array" ref="F663">_xlfn.IFS(Table1[[#This Row],[Country]]="United States","US",Table1[[#This Row],[Country]]="United Kingdom","UK",TRUE,"EU")</f>
        <v>EU</v>
      </c>
      <c r="G663" cm="1">
        <f t="array" ref="G66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64" spans="1:7" x14ac:dyDescent="0.2">
      <c r="A664" t="s">
        <v>1161</v>
      </c>
      <c r="B664" t="s">
        <v>1776</v>
      </c>
      <c r="C664" t="s">
        <v>6</v>
      </c>
      <c r="D664" t="s">
        <v>7</v>
      </c>
      <c r="E664" t="s">
        <v>1619</v>
      </c>
      <c r="F664" t="str" cm="1">
        <f t="array" ref="F664">_xlfn.IFS(Table1[[#This Row],[Country]]="United States","US",Table1[[#This Row],[Country]]="United Kingdom","UK",TRUE,"EU")</f>
        <v>EU</v>
      </c>
      <c r="G664" cm="1">
        <f t="array" ref="G66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65" spans="1:7" x14ac:dyDescent="0.2">
      <c r="A665" t="s">
        <v>1162</v>
      </c>
      <c r="B665" t="s">
        <v>1777</v>
      </c>
      <c r="C665" t="s">
        <v>6</v>
      </c>
      <c r="D665" t="s">
        <v>25</v>
      </c>
      <c r="E665" t="s">
        <v>1599</v>
      </c>
      <c r="F665" t="str" cm="1">
        <f t="array" ref="F665">_xlfn.IFS(Table1[[#This Row],[Country]]="United States","US",Table1[[#This Row],[Country]]="United Kingdom","UK",TRUE,"EU")</f>
        <v>EU</v>
      </c>
      <c r="G665" cm="1">
        <f t="array" ref="G66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66" spans="1:7" x14ac:dyDescent="0.2">
      <c r="A666" t="s">
        <v>1163</v>
      </c>
      <c r="B666" t="s">
        <v>1778</v>
      </c>
      <c r="C666" t="s">
        <v>6</v>
      </c>
      <c r="D666" t="s">
        <v>25</v>
      </c>
      <c r="E666" t="s">
        <v>1619</v>
      </c>
      <c r="F666" t="str" cm="1">
        <f t="array" ref="F666">_xlfn.IFS(Table1[[#This Row],[Country]]="United States","US",Table1[[#This Row],[Country]]="United Kingdom","UK",TRUE,"EU")</f>
        <v>EU</v>
      </c>
      <c r="G666" cm="1">
        <f t="array" ref="G66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67" spans="1:7" x14ac:dyDescent="0.2">
      <c r="A667" t="s">
        <v>1164</v>
      </c>
      <c r="B667" t="s">
        <v>1779</v>
      </c>
      <c r="C667" t="s">
        <v>6</v>
      </c>
      <c r="D667" t="s">
        <v>18</v>
      </c>
      <c r="E667" t="s">
        <v>1626</v>
      </c>
      <c r="F667" t="str" cm="1">
        <f t="array" ref="F667">_xlfn.IFS(Table1[[#This Row],[Country]]="United States","US",Table1[[#This Row],[Country]]="United Kingdom","UK",TRUE,"EU")</f>
        <v>EU</v>
      </c>
      <c r="G667" cm="1">
        <f t="array" ref="G66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68" spans="1:7" x14ac:dyDescent="0.2">
      <c r="A668" t="s">
        <v>1165</v>
      </c>
      <c r="B668" t="s">
        <v>1780</v>
      </c>
      <c r="C668" t="s">
        <v>6</v>
      </c>
      <c r="D668" t="s">
        <v>42</v>
      </c>
      <c r="E668" t="s">
        <v>1650</v>
      </c>
      <c r="F668" t="str" cm="1">
        <f t="array" ref="F668">_xlfn.IFS(Table1[[#This Row],[Country]]="United States","US",Table1[[#This Row],[Country]]="United Kingdom","UK",TRUE,"EU")</f>
        <v>EU</v>
      </c>
      <c r="G668" cm="1">
        <f t="array" ref="G66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69" spans="1:7" x14ac:dyDescent="0.2">
      <c r="A669" t="s">
        <v>1166</v>
      </c>
      <c r="B669" t="s">
        <v>1781</v>
      </c>
      <c r="C669" t="s">
        <v>6</v>
      </c>
      <c r="D669" t="s">
        <v>25</v>
      </c>
      <c r="E669" t="s">
        <v>1619</v>
      </c>
      <c r="F669" t="str" cm="1">
        <f t="array" ref="F669">_xlfn.IFS(Table1[[#This Row],[Country]]="United States","US",Table1[[#This Row],[Country]]="United Kingdom","UK",TRUE,"EU")</f>
        <v>EU</v>
      </c>
      <c r="G669" cm="1">
        <f t="array" ref="G66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70" spans="1:7" x14ac:dyDescent="0.2">
      <c r="A670" t="s">
        <v>1167</v>
      </c>
      <c r="B670" t="s">
        <v>1782</v>
      </c>
      <c r="C670" t="s">
        <v>6</v>
      </c>
      <c r="D670" t="s">
        <v>25</v>
      </c>
      <c r="E670" t="s">
        <v>1588</v>
      </c>
      <c r="F670" t="str" cm="1">
        <f t="array" ref="F670">_xlfn.IFS(Table1[[#This Row],[Country]]="United States","US",Table1[[#This Row],[Country]]="United Kingdom","UK",TRUE,"EU")</f>
        <v>EU</v>
      </c>
      <c r="G670" cm="1">
        <f t="array" ref="G67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71" spans="1:7" x14ac:dyDescent="0.2">
      <c r="A671" t="s">
        <v>1168</v>
      </c>
      <c r="B671" t="s">
        <v>1783</v>
      </c>
      <c r="C671" t="s">
        <v>6</v>
      </c>
      <c r="D671" t="s">
        <v>18</v>
      </c>
      <c r="E671" t="s">
        <v>1635</v>
      </c>
      <c r="F671" t="str" cm="1">
        <f t="array" ref="F671">_xlfn.IFS(Table1[[#This Row],[Country]]="United States","US",Table1[[#This Row],[Country]]="United Kingdom","UK",TRUE,"EU")</f>
        <v>EU</v>
      </c>
      <c r="G671" cm="1">
        <f t="array" ref="G67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72" spans="1:7" x14ac:dyDescent="0.2">
      <c r="A672" t="s">
        <v>1169</v>
      </c>
      <c r="B672" t="s">
        <v>1784</v>
      </c>
      <c r="C672" t="s">
        <v>6</v>
      </c>
      <c r="D672" t="s">
        <v>25</v>
      </c>
      <c r="E672" t="s">
        <v>1640</v>
      </c>
      <c r="F672" t="str" cm="1">
        <f t="array" ref="F672">_xlfn.IFS(Table1[[#This Row],[Country]]="United States","US",Table1[[#This Row],[Country]]="United Kingdom","UK",TRUE,"EU")</f>
        <v>EU</v>
      </c>
      <c r="G672" cm="1">
        <f t="array" ref="G67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73" spans="1:7" x14ac:dyDescent="0.2">
      <c r="A673" t="s">
        <v>1170</v>
      </c>
      <c r="B673" t="s">
        <v>1785</v>
      </c>
      <c r="C673" t="s">
        <v>6</v>
      </c>
      <c r="D673" t="s">
        <v>25</v>
      </c>
      <c r="E673" t="s">
        <v>1635</v>
      </c>
      <c r="F673" t="str" cm="1">
        <f t="array" ref="F673">_xlfn.IFS(Table1[[#This Row],[Country]]="United States","US",Table1[[#This Row],[Country]]="United Kingdom","UK",TRUE,"EU")</f>
        <v>EU</v>
      </c>
      <c r="G673" cm="1">
        <f t="array" ref="G67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74" spans="1:7" x14ac:dyDescent="0.2">
      <c r="A674" t="s">
        <v>1171</v>
      </c>
      <c r="B674" t="s">
        <v>1786</v>
      </c>
      <c r="C674" t="s">
        <v>6</v>
      </c>
      <c r="D674" t="s">
        <v>7</v>
      </c>
      <c r="E674" t="s">
        <v>1619</v>
      </c>
      <c r="F674" t="str" cm="1">
        <f t="array" ref="F674">_xlfn.IFS(Table1[[#This Row],[Country]]="United States","US",Table1[[#This Row],[Country]]="United Kingdom","UK",TRUE,"EU")</f>
        <v>EU</v>
      </c>
      <c r="G674" cm="1">
        <f t="array" ref="G67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75" spans="1:7" x14ac:dyDescent="0.2">
      <c r="A675" t="s">
        <v>1172</v>
      </c>
      <c r="B675" t="s">
        <v>1787</v>
      </c>
      <c r="C675" t="s">
        <v>6</v>
      </c>
      <c r="D675" t="s">
        <v>7</v>
      </c>
      <c r="E675" t="s">
        <v>1640</v>
      </c>
      <c r="F675" t="str" cm="1">
        <f t="array" ref="F675">_xlfn.IFS(Table1[[#This Row],[Country]]="United States","US",Table1[[#This Row],[Country]]="United Kingdom","UK",TRUE,"EU")</f>
        <v>EU</v>
      </c>
      <c r="G675" cm="1">
        <f t="array" ref="G67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76" spans="1:7" x14ac:dyDescent="0.2">
      <c r="A676" t="s">
        <v>1173</v>
      </c>
      <c r="B676" t="s">
        <v>1788</v>
      </c>
      <c r="C676" t="s">
        <v>6</v>
      </c>
      <c r="D676" t="s">
        <v>33</v>
      </c>
      <c r="E676" t="s">
        <v>1586</v>
      </c>
      <c r="F676" t="str" cm="1">
        <f t="array" ref="F676">_xlfn.IFS(Table1[[#This Row],[Country]]="United States","US",Table1[[#This Row],[Country]]="United Kingdom","UK",TRUE,"EU")</f>
        <v>EU</v>
      </c>
      <c r="G676" cm="1">
        <f t="array" ref="G67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677" spans="1:7" x14ac:dyDescent="0.2">
      <c r="A677" t="s">
        <v>1174</v>
      </c>
      <c r="B677" t="s">
        <v>1789</v>
      </c>
      <c r="C677" t="s">
        <v>6</v>
      </c>
      <c r="D677" t="s">
        <v>25</v>
      </c>
      <c r="E677" t="s">
        <v>1668</v>
      </c>
      <c r="F677" t="str" cm="1">
        <f t="array" ref="F677">_xlfn.IFS(Table1[[#This Row],[Country]]="United States","US",Table1[[#This Row],[Country]]="United Kingdom","UK",TRUE,"EU")</f>
        <v>EU</v>
      </c>
      <c r="G677" cm="1">
        <f t="array" ref="G67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78" spans="1:7" x14ac:dyDescent="0.2">
      <c r="A678" t="s">
        <v>1175</v>
      </c>
      <c r="B678" t="s">
        <v>1790</v>
      </c>
      <c r="C678" t="s">
        <v>6</v>
      </c>
      <c r="D678" t="s">
        <v>7</v>
      </c>
      <c r="E678" t="s">
        <v>1717</v>
      </c>
      <c r="F678" t="str" cm="1">
        <f t="array" ref="F678">_xlfn.IFS(Table1[[#This Row],[Country]]="United States","US",Table1[[#This Row],[Country]]="United Kingdom","UK",TRUE,"EU")</f>
        <v>EU</v>
      </c>
      <c r="G678" cm="1">
        <f t="array" ref="G67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79" spans="1:7" x14ac:dyDescent="0.2">
      <c r="A679" t="s">
        <v>1176</v>
      </c>
      <c r="B679" t="s">
        <v>1791</v>
      </c>
      <c r="C679" t="s">
        <v>6</v>
      </c>
      <c r="D679" t="s">
        <v>16</v>
      </c>
      <c r="E679" t="s">
        <v>1654</v>
      </c>
      <c r="F679" t="str" cm="1">
        <f t="array" ref="F679">_xlfn.IFS(Table1[[#This Row],[Country]]="United States","US",Table1[[#This Row],[Country]]="United Kingdom","UK",TRUE,"EU")</f>
        <v>EU</v>
      </c>
      <c r="G679" cm="1">
        <f t="array" ref="G67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80" spans="1:7" x14ac:dyDescent="0.2">
      <c r="A680" t="s">
        <v>1177</v>
      </c>
      <c r="B680" t="s">
        <v>1792</v>
      </c>
      <c r="C680" t="s">
        <v>6</v>
      </c>
      <c r="D680" t="s">
        <v>25</v>
      </c>
      <c r="E680" t="s">
        <v>1588</v>
      </c>
      <c r="F680" t="str" cm="1">
        <f t="array" ref="F680">_xlfn.IFS(Table1[[#This Row],[Country]]="United States","US",Table1[[#This Row],[Country]]="United Kingdom","UK",TRUE,"EU")</f>
        <v>EU</v>
      </c>
      <c r="G680" cm="1">
        <f t="array" ref="G68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81" spans="1:7" x14ac:dyDescent="0.2">
      <c r="A681" t="s">
        <v>1178</v>
      </c>
      <c r="B681" t="s">
        <v>1793</v>
      </c>
      <c r="C681" t="s">
        <v>6</v>
      </c>
      <c r="D681" t="s">
        <v>33</v>
      </c>
      <c r="E681" t="s">
        <v>1717</v>
      </c>
      <c r="F681" t="str" cm="1">
        <f t="array" ref="F681">_xlfn.IFS(Table1[[#This Row],[Country]]="United States","US",Table1[[#This Row],[Country]]="United Kingdom","UK",TRUE,"EU")</f>
        <v>EU</v>
      </c>
      <c r="G681" cm="1">
        <f t="array" ref="G68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682" spans="1:7" x14ac:dyDescent="0.2">
      <c r="A682" t="s">
        <v>1179</v>
      </c>
      <c r="B682" t="s">
        <v>1794</v>
      </c>
      <c r="C682" t="s">
        <v>6</v>
      </c>
      <c r="D682" t="s">
        <v>42</v>
      </c>
      <c r="E682" t="s">
        <v>1650</v>
      </c>
      <c r="F682" t="str" cm="1">
        <f t="array" ref="F682">_xlfn.IFS(Table1[[#This Row],[Country]]="United States","US",Table1[[#This Row],[Country]]="United Kingdom","UK",TRUE,"EU")</f>
        <v>EU</v>
      </c>
      <c r="G682" cm="1">
        <f t="array" ref="G68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83" spans="1:7" x14ac:dyDescent="0.2">
      <c r="A683" t="s">
        <v>1180</v>
      </c>
      <c r="B683" t="s">
        <v>1795</v>
      </c>
      <c r="C683" t="s">
        <v>6</v>
      </c>
      <c r="D683" t="s">
        <v>7</v>
      </c>
      <c r="E683" t="s">
        <v>1640</v>
      </c>
      <c r="F683" t="str" cm="1">
        <f t="array" ref="F683">_xlfn.IFS(Table1[[#This Row],[Country]]="United States","US",Table1[[#This Row],[Country]]="United Kingdom","UK",TRUE,"EU")</f>
        <v>EU</v>
      </c>
      <c r="G683" cm="1">
        <f t="array" ref="G68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84" spans="1:7" x14ac:dyDescent="0.2">
      <c r="A684" t="s">
        <v>1181</v>
      </c>
      <c r="B684" t="s">
        <v>1796</v>
      </c>
      <c r="C684" t="s">
        <v>6</v>
      </c>
      <c r="D684" t="s">
        <v>42</v>
      </c>
      <c r="E684" t="s">
        <v>1584</v>
      </c>
      <c r="F684" t="str" cm="1">
        <f t="array" ref="F684">_xlfn.IFS(Table1[[#This Row],[Country]]="United States","US",Table1[[#This Row],[Country]]="United Kingdom","UK",TRUE,"EU")</f>
        <v>EU</v>
      </c>
      <c r="G684" cm="1">
        <f t="array" ref="G68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85" spans="1:7" x14ac:dyDescent="0.2">
      <c r="A685" t="s">
        <v>1182</v>
      </c>
      <c r="B685" t="s">
        <v>1797</v>
      </c>
      <c r="C685" t="s">
        <v>6</v>
      </c>
      <c r="D685" t="s">
        <v>25</v>
      </c>
      <c r="E685" t="s">
        <v>1798</v>
      </c>
      <c r="F685" t="str" cm="1">
        <f t="array" ref="F685">_xlfn.IFS(Table1[[#This Row],[Country]]="United States","US",Table1[[#This Row],[Country]]="United Kingdom","UK",TRUE,"EU")</f>
        <v>EU</v>
      </c>
      <c r="G685" cm="1">
        <f t="array" ref="G68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86" spans="1:7" x14ac:dyDescent="0.2">
      <c r="A686" t="s">
        <v>1183</v>
      </c>
      <c r="B686" t="s">
        <v>1799</v>
      </c>
      <c r="C686" t="s">
        <v>6</v>
      </c>
      <c r="D686" t="s">
        <v>25</v>
      </c>
      <c r="E686" t="s">
        <v>1588</v>
      </c>
      <c r="F686" t="str" cm="1">
        <f t="array" ref="F686">_xlfn.IFS(Table1[[#This Row],[Country]]="United States","US",Table1[[#This Row],[Country]]="United Kingdom","UK",TRUE,"EU")</f>
        <v>EU</v>
      </c>
      <c r="G686" cm="1">
        <f t="array" ref="G68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87" spans="1:7" x14ac:dyDescent="0.2">
      <c r="A687" t="s">
        <v>1184</v>
      </c>
      <c r="B687" t="s">
        <v>1800</v>
      </c>
      <c r="C687" t="s">
        <v>6</v>
      </c>
      <c r="D687" t="s">
        <v>33</v>
      </c>
      <c r="E687" t="s">
        <v>1654</v>
      </c>
      <c r="F687" t="str" cm="1">
        <f t="array" ref="F687">_xlfn.IFS(Table1[[#This Row],[Country]]="United States","US",Table1[[#This Row],[Country]]="United Kingdom","UK",TRUE,"EU")</f>
        <v>EU</v>
      </c>
      <c r="G687" cm="1">
        <f t="array" ref="G68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688" spans="1:7" x14ac:dyDescent="0.2">
      <c r="A688" t="s">
        <v>1185</v>
      </c>
      <c r="B688" t="s">
        <v>1801</v>
      </c>
      <c r="C688" t="s">
        <v>6</v>
      </c>
      <c r="D688" t="s">
        <v>25</v>
      </c>
      <c r="E688" t="s">
        <v>1599</v>
      </c>
      <c r="F688" t="str" cm="1">
        <f t="array" ref="F688">_xlfn.IFS(Table1[[#This Row],[Country]]="United States","US",Table1[[#This Row],[Country]]="United Kingdom","UK",TRUE,"EU")</f>
        <v>EU</v>
      </c>
      <c r="G688" cm="1">
        <f t="array" ref="G68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89" spans="1:7" x14ac:dyDescent="0.2">
      <c r="A689" t="s">
        <v>1186</v>
      </c>
      <c r="B689" t="s">
        <v>1802</v>
      </c>
      <c r="C689" t="s">
        <v>6</v>
      </c>
      <c r="D689" t="s">
        <v>7</v>
      </c>
      <c r="E689" t="s">
        <v>1582</v>
      </c>
      <c r="F689" t="str" cm="1">
        <f t="array" ref="F689">_xlfn.IFS(Table1[[#This Row],[Country]]="United States","US",Table1[[#This Row],[Country]]="United Kingdom","UK",TRUE,"EU")</f>
        <v>EU</v>
      </c>
      <c r="G689" cm="1">
        <f t="array" ref="G68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90" spans="1:7" x14ac:dyDescent="0.2">
      <c r="A690" t="s">
        <v>1187</v>
      </c>
      <c r="B690" t="s">
        <v>1803</v>
      </c>
      <c r="C690" t="s">
        <v>6</v>
      </c>
      <c r="D690" t="s">
        <v>25</v>
      </c>
      <c r="E690" t="s">
        <v>1619</v>
      </c>
      <c r="F690" t="str" cm="1">
        <f t="array" ref="F690">_xlfn.IFS(Table1[[#This Row],[Country]]="United States","US",Table1[[#This Row],[Country]]="United Kingdom","UK",TRUE,"EU")</f>
        <v>EU</v>
      </c>
      <c r="G690" cm="1">
        <f t="array" ref="G69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91" spans="1:7" x14ac:dyDescent="0.2">
      <c r="A691" t="s">
        <v>1188</v>
      </c>
      <c r="B691" t="s">
        <v>1804</v>
      </c>
      <c r="C691" t="s">
        <v>6</v>
      </c>
      <c r="D691" t="s">
        <v>33</v>
      </c>
      <c r="E691" t="s">
        <v>1640</v>
      </c>
      <c r="F691" t="str" cm="1">
        <f t="array" ref="F691">_xlfn.IFS(Table1[[#This Row],[Country]]="United States","US",Table1[[#This Row],[Country]]="United Kingdom","UK",TRUE,"EU")</f>
        <v>EU</v>
      </c>
      <c r="G691" cm="1">
        <f t="array" ref="G69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692" spans="1:7" x14ac:dyDescent="0.2">
      <c r="A692" t="s">
        <v>1189</v>
      </c>
      <c r="B692" t="s">
        <v>1805</v>
      </c>
      <c r="C692" t="s">
        <v>6</v>
      </c>
      <c r="D692" t="s">
        <v>25</v>
      </c>
      <c r="E692" t="s">
        <v>1584</v>
      </c>
      <c r="F692" t="str" cm="1">
        <f t="array" ref="F692">_xlfn.IFS(Table1[[#This Row],[Country]]="United States","US",Table1[[#This Row],[Country]]="United Kingdom","UK",TRUE,"EU")</f>
        <v>EU</v>
      </c>
      <c r="G692" cm="1">
        <f t="array" ref="G69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93" spans="1:7" x14ac:dyDescent="0.2">
      <c r="A693" t="s">
        <v>1190</v>
      </c>
      <c r="B693" t="s">
        <v>1806</v>
      </c>
      <c r="C693" t="s">
        <v>6</v>
      </c>
      <c r="D693" t="s">
        <v>25</v>
      </c>
      <c r="E693" t="s">
        <v>1619</v>
      </c>
      <c r="F693" t="str" cm="1">
        <f t="array" ref="F693">_xlfn.IFS(Table1[[#This Row],[Country]]="United States","US",Table1[[#This Row],[Country]]="United Kingdom","UK",TRUE,"EU")</f>
        <v>EU</v>
      </c>
      <c r="G693" cm="1">
        <f t="array" ref="G69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94" spans="1:7" x14ac:dyDescent="0.2">
      <c r="A694" t="s">
        <v>1191</v>
      </c>
      <c r="B694" t="s">
        <v>1807</v>
      </c>
      <c r="C694" t="s">
        <v>6</v>
      </c>
      <c r="D694" t="s">
        <v>7</v>
      </c>
      <c r="E694" t="s">
        <v>1650</v>
      </c>
      <c r="F694" t="str" cm="1">
        <f t="array" ref="F694">_xlfn.IFS(Table1[[#This Row],[Country]]="United States","US",Table1[[#This Row],[Country]]="United Kingdom","UK",TRUE,"EU")</f>
        <v>EU</v>
      </c>
      <c r="G694" cm="1">
        <f t="array" ref="G69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95" spans="1:7" x14ac:dyDescent="0.2">
      <c r="A695" t="s">
        <v>1192</v>
      </c>
      <c r="B695" t="s">
        <v>1808</v>
      </c>
      <c r="C695" t="s">
        <v>6</v>
      </c>
      <c r="D695" t="s">
        <v>25</v>
      </c>
      <c r="E695" t="s">
        <v>1668</v>
      </c>
      <c r="F695" t="str" cm="1">
        <f t="array" ref="F695">_xlfn.IFS(Table1[[#This Row],[Country]]="United States","US",Table1[[#This Row],[Country]]="United Kingdom","UK",TRUE,"EU")</f>
        <v>EU</v>
      </c>
      <c r="G695" cm="1">
        <f t="array" ref="G69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96" spans="1:7" x14ac:dyDescent="0.2">
      <c r="A696" t="s">
        <v>1193</v>
      </c>
      <c r="B696" t="s">
        <v>1809</v>
      </c>
      <c r="C696" t="s">
        <v>6</v>
      </c>
      <c r="D696" t="s">
        <v>25</v>
      </c>
      <c r="E696" t="s">
        <v>1582</v>
      </c>
      <c r="F696" t="str" cm="1">
        <f t="array" ref="F696">_xlfn.IFS(Table1[[#This Row],[Country]]="United States","US",Table1[[#This Row],[Country]]="United Kingdom","UK",TRUE,"EU")</f>
        <v>EU</v>
      </c>
      <c r="G696" cm="1">
        <f t="array" ref="G69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697" spans="1:7" x14ac:dyDescent="0.2">
      <c r="A697" t="s">
        <v>1194</v>
      </c>
      <c r="B697" t="s">
        <v>1810</v>
      </c>
      <c r="C697" t="s">
        <v>6</v>
      </c>
      <c r="D697" t="s">
        <v>33</v>
      </c>
      <c r="E697" t="s">
        <v>1798</v>
      </c>
      <c r="F697" t="str" cm="1">
        <f t="array" ref="F697">_xlfn.IFS(Table1[[#This Row],[Country]]="United States","US",Table1[[#This Row],[Country]]="United Kingdom","UK",TRUE,"EU")</f>
        <v>EU</v>
      </c>
      <c r="G697" cm="1">
        <f t="array" ref="G69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698" spans="1:7" x14ac:dyDescent="0.2">
      <c r="A698" t="s">
        <v>1195</v>
      </c>
      <c r="B698" t="s">
        <v>1811</v>
      </c>
      <c r="C698" t="s">
        <v>6</v>
      </c>
      <c r="D698" t="s">
        <v>7</v>
      </c>
      <c r="E698" t="s">
        <v>1640</v>
      </c>
      <c r="F698" t="str" cm="1">
        <f t="array" ref="F698">_xlfn.IFS(Table1[[#This Row],[Country]]="United States","US",Table1[[#This Row],[Country]]="United Kingdom","UK",TRUE,"EU")</f>
        <v>EU</v>
      </c>
      <c r="G698" cm="1">
        <f t="array" ref="G69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699" spans="1:7" x14ac:dyDescent="0.2">
      <c r="A699" t="s">
        <v>1196</v>
      </c>
      <c r="B699" t="s">
        <v>1196</v>
      </c>
      <c r="C699" t="s">
        <v>6</v>
      </c>
      <c r="D699" t="s">
        <v>1044</v>
      </c>
      <c r="E699" t="s">
        <v>1574</v>
      </c>
      <c r="F699" t="str" cm="1">
        <f t="array" ref="F699">_xlfn.IFS(Table1[[#This Row],[Country]]="United States","US",Table1[[#This Row],[Country]]="United Kingdom","UK",TRUE,"EU")</f>
        <v>US</v>
      </c>
      <c r="G699" t="str" cm="1">
        <f t="array" ref="G69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n.a.</v>
      </c>
    </row>
    <row r="700" spans="1:7" x14ac:dyDescent="0.2">
      <c r="A700" t="s">
        <v>1197</v>
      </c>
      <c r="B700" t="s">
        <v>1812</v>
      </c>
      <c r="C700" t="s">
        <v>6</v>
      </c>
      <c r="D700" t="s">
        <v>7</v>
      </c>
      <c r="E700" t="s">
        <v>1650</v>
      </c>
      <c r="F700" t="str" cm="1">
        <f t="array" ref="F700">_xlfn.IFS(Table1[[#This Row],[Country]]="United States","US",Table1[[#This Row],[Country]]="United Kingdom","UK",TRUE,"EU")</f>
        <v>EU</v>
      </c>
      <c r="G700" cm="1">
        <f t="array" ref="G70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01" spans="1:7" x14ac:dyDescent="0.2">
      <c r="A701" t="s">
        <v>1198</v>
      </c>
      <c r="B701" t="s">
        <v>1813</v>
      </c>
      <c r="C701" t="s">
        <v>6</v>
      </c>
      <c r="D701" t="s">
        <v>18</v>
      </c>
      <c r="E701" t="s">
        <v>1640</v>
      </c>
      <c r="F701" t="str" cm="1">
        <f t="array" ref="F701">_xlfn.IFS(Table1[[#This Row],[Country]]="United States","US",Table1[[#This Row],[Country]]="United Kingdom","UK",TRUE,"EU")</f>
        <v>EU</v>
      </c>
      <c r="G701" cm="1">
        <f t="array" ref="G70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02" spans="1:7" x14ac:dyDescent="0.2">
      <c r="A702" t="s">
        <v>1199</v>
      </c>
      <c r="B702" t="s">
        <v>1814</v>
      </c>
      <c r="C702" t="s">
        <v>6</v>
      </c>
      <c r="D702" t="s">
        <v>16</v>
      </c>
      <c r="E702" t="s">
        <v>1650</v>
      </c>
      <c r="F702" t="str" cm="1">
        <f t="array" ref="F702">_xlfn.IFS(Table1[[#This Row],[Country]]="United States","US",Table1[[#This Row],[Country]]="United Kingdom","UK",TRUE,"EU")</f>
        <v>EU</v>
      </c>
      <c r="G702" cm="1">
        <f t="array" ref="G70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03" spans="1:7" x14ac:dyDescent="0.2">
      <c r="A703" t="s">
        <v>1200</v>
      </c>
      <c r="B703" t="s">
        <v>1815</v>
      </c>
      <c r="C703" t="s">
        <v>6</v>
      </c>
      <c r="D703" t="s">
        <v>33</v>
      </c>
      <c r="E703" t="s">
        <v>1588</v>
      </c>
      <c r="F703" t="str" cm="1">
        <f t="array" ref="F703">_xlfn.IFS(Table1[[#This Row],[Country]]="United States","US",Table1[[#This Row],[Country]]="United Kingdom","UK",TRUE,"EU")</f>
        <v>EU</v>
      </c>
      <c r="G703" cm="1">
        <f t="array" ref="G70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704" spans="1:7" x14ac:dyDescent="0.2">
      <c r="A704" t="s">
        <v>1201</v>
      </c>
      <c r="B704" t="s">
        <v>1816</v>
      </c>
      <c r="C704" t="s">
        <v>6</v>
      </c>
      <c r="D704" t="s">
        <v>33</v>
      </c>
      <c r="E704" t="s">
        <v>1668</v>
      </c>
      <c r="F704" t="str" cm="1">
        <f t="array" ref="F704">_xlfn.IFS(Table1[[#This Row],[Country]]="United States","US",Table1[[#This Row],[Country]]="United Kingdom","UK",TRUE,"EU")</f>
        <v>EU</v>
      </c>
      <c r="G704" cm="1">
        <f t="array" ref="G70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705" spans="1:7" x14ac:dyDescent="0.2">
      <c r="A705" t="s">
        <v>1202</v>
      </c>
      <c r="B705" t="s">
        <v>1817</v>
      </c>
      <c r="C705" t="s">
        <v>6</v>
      </c>
      <c r="D705" t="s">
        <v>33</v>
      </c>
      <c r="E705" t="s">
        <v>1818</v>
      </c>
      <c r="F705" t="str" cm="1">
        <f t="array" ref="F705">_xlfn.IFS(Table1[[#This Row],[Country]]="United States","US",Table1[[#This Row],[Country]]="United Kingdom","UK",TRUE,"EU")</f>
        <v>EU</v>
      </c>
      <c r="G705" cm="1">
        <f t="array" ref="G70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706" spans="1:7" x14ac:dyDescent="0.2">
      <c r="A706" t="s">
        <v>1203</v>
      </c>
      <c r="B706" t="s">
        <v>1819</v>
      </c>
      <c r="C706" t="s">
        <v>6</v>
      </c>
      <c r="D706" t="s">
        <v>25</v>
      </c>
      <c r="E706" t="s">
        <v>1582</v>
      </c>
      <c r="F706" t="str" cm="1">
        <f t="array" ref="F706">_xlfn.IFS(Table1[[#This Row],[Country]]="United States","US",Table1[[#This Row],[Country]]="United Kingdom","UK",TRUE,"EU")</f>
        <v>EU</v>
      </c>
      <c r="G706" cm="1">
        <f t="array" ref="G70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707" spans="1:7" x14ac:dyDescent="0.2">
      <c r="A707" t="s">
        <v>1204</v>
      </c>
      <c r="B707" t="s">
        <v>1820</v>
      </c>
      <c r="C707" t="s">
        <v>6</v>
      </c>
      <c r="D707" t="s">
        <v>7</v>
      </c>
      <c r="E707" t="s">
        <v>1640</v>
      </c>
      <c r="F707" t="str" cm="1">
        <f t="array" ref="F707">_xlfn.IFS(Table1[[#This Row],[Country]]="United States","US",Table1[[#This Row],[Country]]="United Kingdom","UK",TRUE,"EU")</f>
        <v>EU</v>
      </c>
      <c r="G707" cm="1">
        <f t="array" ref="G70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08" spans="1:7" x14ac:dyDescent="0.2">
      <c r="A708" t="s">
        <v>1205</v>
      </c>
      <c r="B708" t="s">
        <v>1821</v>
      </c>
      <c r="C708" t="s">
        <v>6</v>
      </c>
      <c r="D708" t="s">
        <v>18</v>
      </c>
      <c r="E708" t="s">
        <v>1635</v>
      </c>
      <c r="F708" t="str" cm="1">
        <f t="array" ref="F708">_xlfn.IFS(Table1[[#This Row],[Country]]="United States","US",Table1[[#This Row],[Country]]="United Kingdom","UK",TRUE,"EU")</f>
        <v>EU</v>
      </c>
      <c r="G708" cm="1">
        <f t="array" ref="G70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09" spans="1:7" x14ac:dyDescent="0.2">
      <c r="A709" t="s">
        <v>1206</v>
      </c>
      <c r="B709" t="s">
        <v>1822</v>
      </c>
      <c r="C709" t="s">
        <v>6</v>
      </c>
      <c r="D709" t="s">
        <v>16</v>
      </c>
      <c r="E709" t="s">
        <v>1640</v>
      </c>
      <c r="F709" t="str" cm="1">
        <f t="array" ref="F709">_xlfn.IFS(Table1[[#This Row],[Country]]="United States","US",Table1[[#This Row],[Country]]="United Kingdom","UK",TRUE,"EU")</f>
        <v>EU</v>
      </c>
      <c r="G709" cm="1">
        <f t="array" ref="G70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10" spans="1:7" x14ac:dyDescent="0.2">
      <c r="A710" t="s">
        <v>1207</v>
      </c>
      <c r="B710" t="s">
        <v>1823</v>
      </c>
      <c r="C710" t="s">
        <v>6</v>
      </c>
      <c r="D710" t="s">
        <v>21</v>
      </c>
      <c r="E710" t="s">
        <v>1668</v>
      </c>
      <c r="F710" t="str" cm="1">
        <f t="array" ref="F710">_xlfn.IFS(Table1[[#This Row],[Country]]="United States","US",Table1[[#This Row],[Country]]="United Kingdom","UK",TRUE,"EU")</f>
        <v>EU</v>
      </c>
      <c r="G710" cm="1">
        <f t="array" ref="G71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711" spans="1:7" x14ac:dyDescent="0.2">
      <c r="A711" t="s">
        <v>1208</v>
      </c>
      <c r="B711" t="s">
        <v>1824</v>
      </c>
      <c r="C711" t="s">
        <v>6</v>
      </c>
      <c r="D711" t="s">
        <v>33</v>
      </c>
      <c r="E711" t="s">
        <v>1668</v>
      </c>
      <c r="F711" t="str" cm="1">
        <f t="array" ref="F711">_xlfn.IFS(Table1[[#This Row],[Country]]="United States","US",Table1[[#This Row],[Country]]="United Kingdom","UK",TRUE,"EU")</f>
        <v>EU</v>
      </c>
      <c r="G711" cm="1">
        <f t="array" ref="G71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712" spans="1:7" x14ac:dyDescent="0.2">
      <c r="A712" t="s">
        <v>1209</v>
      </c>
      <c r="B712" t="s">
        <v>1767</v>
      </c>
      <c r="C712" t="s">
        <v>6</v>
      </c>
      <c r="D712" t="s">
        <v>25</v>
      </c>
      <c r="E712" t="s">
        <v>1619</v>
      </c>
      <c r="F712" t="str" cm="1">
        <f t="array" ref="F712">_xlfn.IFS(Table1[[#This Row],[Country]]="United States","US",Table1[[#This Row],[Country]]="United Kingdom","UK",TRUE,"EU")</f>
        <v>EU</v>
      </c>
      <c r="G712" cm="1">
        <f t="array" ref="G71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713" spans="1:7" x14ac:dyDescent="0.2">
      <c r="A713" t="s">
        <v>1210</v>
      </c>
      <c r="B713" t="s">
        <v>1825</v>
      </c>
      <c r="C713" t="s">
        <v>6</v>
      </c>
      <c r="D713" t="s">
        <v>1044</v>
      </c>
      <c r="E713" t="s">
        <v>1575</v>
      </c>
      <c r="F713" t="str" cm="1">
        <f t="array" ref="F713">_xlfn.IFS(Table1[[#This Row],[Country]]="United States","US",Table1[[#This Row],[Country]]="United Kingdom","UK",TRUE,"EU")</f>
        <v>UK</v>
      </c>
      <c r="G713" t="str" cm="1">
        <f t="array" ref="G71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n.a.</v>
      </c>
    </row>
    <row r="714" spans="1:7" x14ac:dyDescent="0.2">
      <c r="A714" t="s">
        <v>1211</v>
      </c>
      <c r="B714" t="s">
        <v>1826</v>
      </c>
      <c r="C714" t="s">
        <v>6</v>
      </c>
      <c r="D714" t="s">
        <v>7</v>
      </c>
      <c r="E714" t="s">
        <v>1588</v>
      </c>
      <c r="F714" t="str" cm="1">
        <f t="array" ref="F714">_xlfn.IFS(Table1[[#This Row],[Country]]="United States","US",Table1[[#This Row],[Country]]="United Kingdom","UK",TRUE,"EU")</f>
        <v>EU</v>
      </c>
      <c r="G714" cm="1">
        <f t="array" ref="G71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15" spans="1:7" x14ac:dyDescent="0.2">
      <c r="A715" t="s">
        <v>1212</v>
      </c>
      <c r="B715" t="s">
        <v>1827</v>
      </c>
      <c r="C715" t="s">
        <v>6</v>
      </c>
      <c r="D715" t="s">
        <v>25</v>
      </c>
      <c r="E715" t="s">
        <v>1621</v>
      </c>
      <c r="F715" t="str" cm="1">
        <f t="array" ref="F715">_xlfn.IFS(Table1[[#This Row],[Country]]="United States","US",Table1[[#This Row],[Country]]="United Kingdom","UK",TRUE,"EU")</f>
        <v>EU</v>
      </c>
      <c r="G715" cm="1">
        <f t="array" ref="G71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716" spans="1:7" x14ac:dyDescent="0.2">
      <c r="A716" t="s">
        <v>1213</v>
      </c>
      <c r="B716" t="s">
        <v>1828</v>
      </c>
      <c r="C716" t="s">
        <v>6</v>
      </c>
      <c r="D716" t="s">
        <v>7</v>
      </c>
      <c r="E716" t="s">
        <v>1635</v>
      </c>
      <c r="F716" t="str" cm="1">
        <f t="array" ref="F716">_xlfn.IFS(Table1[[#This Row],[Country]]="United States","US",Table1[[#This Row],[Country]]="United Kingdom","UK",TRUE,"EU")</f>
        <v>EU</v>
      </c>
      <c r="G716" cm="1">
        <f t="array" ref="G71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17" spans="1:7" x14ac:dyDescent="0.2">
      <c r="A717" t="s">
        <v>1214</v>
      </c>
      <c r="B717" t="s">
        <v>1829</v>
      </c>
      <c r="C717" t="s">
        <v>6</v>
      </c>
      <c r="D717" t="s">
        <v>33</v>
      </c>
      <c r="E717" t="s">
        <v>1818</v>
      </c>
      <c r="F717" t="str" cm="1">
        <f t="array" ref="F717">_xlfn.IFS(Table1[[#This Row],[Country]]="United States","US",Table1[[#This Row],[Country]]="United Kingdom","UK",TRUE,"EU")</f>
        <v>EU</v>
      </c>
      <c r="G717" cm="1">
        <f t="array" ref="G71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718" spans="1:7" x14ac:dyDescent="0.2">
      <c r="A718" t="s">
        <v>1215</v>
      </c>
      <c r="B718" t="s">
        <v>1830</v>
      </c>
      <c r="C718" t="s">
        <v>6</v>
      </c>
      <c r="D718" t="s">
        <v>33</v>
      </c>
      <c r="E718" t="s">
        <v>1599</v>
      </c>
      <c r="F718" t="str" cm="1">
        <f t="array" ref="F718">_xlfn.IFS(Table1[[#This Row],[Country]]="United States","US",Table1[[#This Row],[Country]]="United Kingdom","UK",TRUE,"EU")</f>
        <v>EU</v>
      </c>
      <c r="G718" cm="1">
        <f t="array" ref="G71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719" spans="1:7" x14ac:dyDescent="0.2">
      <c r="A719" t="s">
        <v>1216</v>
      </c>
      <c r="B719" t="s">
        <v>1831</v>
      </c>
      <c r="C719" t="s">
        <v>6</v>
      </c>
      <c r="D719" t="s">
        <v>7</v>
      </c>
      <c r="E719" t="s">
        <v>1635</v>
      </c>
      <c r="F719" t="str" cm="1">
        <f t="array" ref="F719">_xlfn.IFS(Table1[[#This Row],[Country]]="United States","US",Table1[[#This Row],[Country]]="United Kingdom","UK",TRUE,"EU")</f>
        <v>EU</v>
      </c>
      <c r="G719" cm="1">
        <f t="array" ref="G71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20" spans="1:7" x14ac:dyDescent="0.2">
      <c r="A720" t="s">
        <v>1217</v>
      </c>
      <c r="B720" t="s">
        <v>1832</v>
      </c>
      <c r="C720" t="s">
        <v>6</v>
      </c>
      <c r="D720" t="s">
        <v>7</v>
      </c>
      <c r="E720" t="s">
        <v>1668</v>
      </c>
      <c r="F720" t="str" cm="1">
        <f t="array" ref="F720">_xlfn.IFS(Table1[[#This Row],[Country]]="United States","US",Table1[[#This Row],[Country]]="United Kingdom","UK",TRUE,"EU")</f>
        <v>EU</v>
      </c>
      <c r="G720" cm="1">
        <f t="array" ref="G72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21" spans="1:7" x14ac:dyDescent="0.2">
      <c r="A721" t="s">
        <v>1218</v>
      </c>
      <c r="B721" t="s">
        <v>1833</v>
      </c>
      <c r="C721" t="s">
        <v>6</v>
      </c>
      <c r="D721" t="s">
        <v>1044</v>
      </c>
      <c r="E721" t="s">
        <v>1575</v>
      </c>
      <c r="F721" t="str" cm="1">
        <f t="array" ref="F721">_xlfn.IFS(Table1[[#This Row],[Country]]="United States","US",Table1[[#This Row],[Country]]="United Kingdom","UK",TRUE,"EU")</f>
        <v>UK</v>
      </c>
      <c r="G721" t="str" cm="1">
        <f t="array" ref="G72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n.a.</v>
      </c>
    </row>
    <row r="722" spans="1:7" x14ac:dyDescent="0.2">
      <c r="A722" t="s">
        <v>1219</v>
      </c>
      <c r="B722" t="s">
        <v>1834</v>
      </c>
      <c r="C722" t="s">
        <v>6</v>
      </c>
      <c r="D722" t="s">
        <v>7</v>
      </c>
      <c r="E722" t="s">
        <v>1619</v>
      </c>
      <c r="F722" t="str" cm="1">
        <f t="array" ref="F722">_xlfn.IFS(Table1[[#This Row],[Country]]="United States","US",Table1[[#This Row],[Country]]="United Kingdom","UK",TRUE,"EU")</f>
        <v>EU</v>
      </c>
      <c r="G722" cm="1">
        <f t="array" ref="G72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23" spans="1:7" x14ac:dyDescent="0.2">
      <c r="A723" t="s">
        <v>1220</v>
      </c>
      <c r="B723" t="s">
        <v>1835</v>
      </c>
      <c r="C723" t="s">
        <v>6</v>
      </c>
      <c r="D723" t="s">
        <v>42</v>
      </c>
      <c r="E723" t="s">
        <v>1654</v>
      </c>
      <c r="F723" t="str" cm="1">
        <f t="array" ref="F723">_xlfn.IFS(Table1[[#This Row],[Country]]="United States","US",Table1[[#This Row],[Country]]="United Kingdom","UK",TRUE,"EU")</f>
        <v>EU</v>
      </c>
      <c r="G723" cm="1">
        <f t="array" ref="G72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24" spans="1:7" x14ac:dyDescent="0.2">
      <c r="A724" t="s">
        <v>1221</v>
      </c>
      <c r="B724" t="s">
        <v>1836</v>
      </c>
      <c r="C724" t="s">
        <v>6</v>
      </c>
      <c r="D724" t="s">
        <v>21</v>
      </c>
      <c r="E724" t="s">
        <v>1635</v>
      </c>
      <c r="F724" t="str" cm="1">
        <f t="array" ref="F724">_xlfn.IFS(Table1[[#This Row],[Country]]="United States","US",Table1[[#This Row],[Country]]="United Kingdom","UK",TRUE,"EU")</f>
        <v>EU</v>
      </c>
      <c r="G724" cm="1">
        <f t="array" ref="G72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725" spans="1:7" x14ac:dyDescent="0.2">
      <c r="A725" t="s">
        <v>1222</v>
      </c>
      <c r="B725" t="s">
        <v>1837</v>
      </c>
      <c r="C725" t="s">
        <v>6</v>
      </c>
      <c r="D725" t="s">
        <v>42</v>
      </c>
      <c r="E725" t="s">
        <v>1635</v>
      </c>
      <c r="F725" t="str" cm="1">
        <f t="array" ref="F725">_xlfn.IFS(Table1[[#This Row],[Country]]="United States","US",Table1[[#This Row],[Country]]="United Kingdom","UK",TRUE,"EU")</f>
        <v>EU</v>
      </c>
      <c r="G725" cm="1">
        <f t="array" ref="G72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26" spans="1:7" x14ac:dyDescent="0.2">
      <c r="A726" t="s">
        <v>1223</v>
      </c>
      <c r="B726" t="s">
        <v>1838</v>
      </c>
      <c r="C726" t="s">
        <v>6</v>
      </c>
      <c r="D726" t="s">
        <v>25</v>
      </c>
      <c r="E726" t="s">
        <v>1640</v>
      </c>
      <c r="F726" t="str" cm="1">
        <f t="array" ref="F726">_xlfn.IFS(Table1[[#This Row],[Country]]="United States","US",Table1[[#This Row],[Country]]="United Kingdom","UK",TRUE,"EU")</f>
        <v>EU</v>
      </c>
      <c r="G726" cm="1">
        <f t="array" ref="G72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727" spans="1:7" x14ac:dyDescent="0.2">
      <c r="A727" t="s">
        <v>1224</v>
      </c>
      <c r="B727" t="s">
        <v>1839</v>
      </c>
      <c r="C727" t="s">
        <v>6</v>
      </c>
      <c r="D727" t="s">
        <v>21</v>
      </c>
      <c r="E727" t="s">
        <v>1635</v>
      </c>
      <c r="F727" t="str" cm="1">
        <f t="array" ref="F727">_xlfn.IFS(Table1[[#This Row],[Country]]="United States","US",Table1[[#This Row],[Country]]="United Kingdom","UK",TRUE,"EU")</f>
        <v>EU</v>
      </c>
      <c r="G727" cm="1">
        <f t="array" ref="G72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728" spans="1:7" x14ac:dyDescent="0.2">
      <c r="A728" t="s">
        <v>1225</v>
      </c>
      <c r="B728" t="s">
        <v>1840</v>
      </c>
      <c r="C728" t="s">
        <v>6</v>
      </c>
      <c r="D728" t="s">
        <v>7</v>
      </c>
      <c r="E728" t="s">
        <v>1635</v>
      </c>
      <c r="F728" t="str" cm="1">
        <f t="array" ref="F728">_xlfn.IFS(Table1[[#This Row],[Country]]="United States","US",Table1[[#This Row],[Country]]="United Kingdom","UK",TRUE,"EU")</f>
        <v>EU</v>
      </c>
      <c r="G728" cm="1">
        <f t="array" ref="G72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29" spans="1:7" x14ac:dyDescent="0.2">
      <c r="A729" t="s">
        <v>1226</v>
      </c>
      <c r="B729" t="s">
        <v>1841</v>
      </c>
      <c r="C729" t="s">
        <v>6</v>
      </c>
      <c r="D729" t="s">
        <v>7</v>
      </c>
      <c r="E729" t="s">
        <v>1635</v>
      </c>
      <c r="F729" t="str" cm="1">
        <f t="array" ref="F729">_xlfn.IFS(Table1[[#This Row],[Country]]="United States","US",Table1[[#This Row],[Country]]="United Kingdom","UK",TRUE,"EU")</f>
        <v>EU</v>
      </c>
      <c r="G729" cm="1">
        <f t="array" ref="G72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30" spans="1:7" x14ac:dyDescent="0.2">
      <c r="A730" t="s">
        <v>1227</v>
      </c>
      <c r="B730" t="s">
        <v>1842</v>
      </c>
      <c r="C730" t="s">
        <v>6</v>
      </c>
      <c r="D730" t="s">
        <v>7</v>
      </c>
      <c r="E730" t="s">
        <v>1668</v>
      </c>
      <c r="F730" t="str" cm="1">
        <f t="array" ref="F730">_xlfn.IFS(Table1[[#This Row],[Country]]="United States","US",Table1[[#This Row],[Country]]="United Kingdom","UK",TRUE,"EU")</f>
        <v>EU</v>
      </c>
      <c r="G730" cm="1">
        <f t="array" ref="G73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31" spans="1:7" x14ac:dyDescent="0.2">
      <c r="A731" t="s">
        <v>1228</v>
      </c>
      <c r="B731" t="s">
        <v>1843</v>
      </c>
      <c r="C731" t="s">
        <v>6</v>
      </c>
      <c r="D731" t="s">
        <v>7</v>
      </c>
      <c r="E731" t="s">
        <v>1619</v>
      </c>
      <c r="F731" t="str" cm="1">
        <f t="array" ref="F731">_xlfn.IFS(Table1[[#This Row],[Country]]="United States","US",Table1[[#This Row],[Country]]="United Kingdom","UK",TRUE,"EU")</f>
        <v>EU</v>
      </c>
      <c r="G731" cm="1">
        <f t="array" ref="G73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32" spans="1:7" x14ac:dyDescent="0.2">
      <c r="A732" t="s">
        <v>1229</v>
      </c>
      <c r="B732" t="s">
        <v>1844</v>
      </c>
      <c r="C732" t="s">
        <v>6</v>
      </c>
      <c r="D732" t="s">
        <v>42</v>
      </c>
      <c r="E732" t="s">
        <v>1601</v>
      </c>
      <c r="F732" t="str" cm="1">
        <f t="array" ref="F732">_xlfn.IFS(Table1[[#This Row],[Country]]="United States","US",Table1[[#This Row],[Country]]="United Kingdom","UK",TRUE,"EU")</f>
        <v>EU</v>
      </c>
      <c r="G732" cm="1">
        <f t="array" ref="G73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33" spans="1:7" x14ac:dyDescent="0.2">
      <c r="A733" t="s">
        <v>1230</v>
      </c>
      <c r="B733" t="s">
        <v>1845</v>
      </c>
      <c r="C733" t="s">
        <v>6</v>
      </c>
      <c r="D733" t="s">
        <v>25</v>
      </c>
      <c r="E733" t="s">
        <v>1619</v>
      </c>
      <c r="F733" t="str" cm="1">
        <f t="array" ref="F733">_xlfn.IFS(Table1[[#This Row],[Country]]="United States","US",Table1[[#This Row],[Country]]="United Kingdom","UK",TRUE,"EU")</f>
        <v>EU</v>
      </c>
      <c r="G733" cm="1">
        <f t="array" ref="G73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734" spans="1:7" x14ac:dyDescent="0.2">
      <c r="A734" t="s">
        <v>1231</v>
      </c>
      <c r="B734" t="s">
        <v>1846</v>
      </c>
      <c r="C734" t="s">
        <v>6</v>
      </c>
      <c r="D734" t="s">
        <v>42</v>
      </c>
      <c r="E734" t="s">
        <v>1652</v>
      </c>
      <c r="F734" t="str" cm="1">
        <f t="array" ref="F734">_xlfn.IFS(Table1[[#This Row],[Country]]="United States","US",Table1[[#This Row],[Country]]="United Kingdom","UK",TRUE,"EU")</f>
        <v>EU</v>
      </c>
      <c r="G734" cm="1">
        <f t="array" ref="G73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35" spans="1:7" x14ac:dyDescent="0.2">
      <c r="A735" t="s">
        <v>1232</v>
      </c>
      <c r="B735" t="s">
        <v>1847</v>
      </c>
      <c r="C735" t="s">
        <v>6</v>
      </c>
      <c r="D735" t="s">
        <v>18</v>
      </c>
      <c r="E735" t="s">
        <v>1640</v>
      </c>
      <c r="F735" t="str" cm="1">
        <f t="array" ref="F735">_xlfn.IFS(Table1[[#This Row],[Country]]="United States","US",Table1[[#This Row],[Country]]="United Kingdom","UK",TRUE,"EU")</f>
        <v>EU</v>
      </c>
      <c r="G735" cm="1">
        <f t="array" ref="G73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36" spans="1:7" x14ac:dyDescent="0.2">
      <c r="A736" t="s">
        <v>1233</v>
      </c>
      <c r="B736" t="s">
        <v>1848</v>
      </c>
      <c r="C736" t="s">
        <v>6</v>
      </c>
      <c r="D736" t="s">
        <v>7</v>
      </c>
      <c r="E736" t="s">
        <v>1599</v>
      </c>
      <c r="F736" t="str" cm="1">
        <f t="array" ref="F736">_xlfn.IFS(Table1[[#This Row],[Country]]="United States","US",Table1[[#This Row],[Country]]="United Kingdom","UK",TRUE,"EU")</f>
        <v>EU</v>
      </c>
      <c r="G736" cm="1">
        <f t="array" ref="G73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37" spans="1:7" x14ac:dyDescent="0.2">
      <c r="A737" t="s">
        <v>1234</v>
      </c>
      <c r="B737" t="s">
        <v>1849</v>
      </c>
      <c r="C737" t="s">
        <v>6</v>
      </c>
      <c r="D737" t="s">
        <v>25</v>
      </c>
      <c r="E737" t="s">
        <v>1619</v>
      </c>
      <c r="F737" t="str" cm="1">
        <f t="array" ref="F737">_xlfn.IFS(Table1[[#This Row],[Country]]="United States","US",Table1[[#This Row],[Country]]="United Kingdom","UK",TRUE,"EU")</f>
        <v>EU</v>
      </c>
      <c r="G737" cm="1">
        <f t="array" ref="G73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738" spans="1:7" x14ac:dyDescent="0.2">
      <c r="A738" t="s">
        <v>1235</v>
      </c>
      <c r="B738" t="s">
        <v>1850</v>
      </c>
      <c r="C738" t="s">
        <v>6</v>
      </c>
      <c r="D738" t="s">
        <v>188</v>
      </c>
      <c r="E738" t="s">
        <v>1668</v>
      </c>
      <c r="F738" t="str" cm="1">
        <f t="array" ref="F738">_xlfn.IFS(Table1[[#This Row],[Country]]="United States","US",Table1[[#This Row],[Country]]="United Kingdom","UK",TRUE,"EU")</f>
        <v>EU</v>
      </c>
      <c r="G738" cm="1">
        <f t="array" ref="G73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739" spans="1:7" x14ac:dyDescent="0.2">
      <c r="A739" t="s">
        <v>1236</v>
      </c>
      <c r="B739" t="s">
        <v>1851</v>
      </c>
      <c r="C739" t="s">
        <v>6</v>
      </c>
      <c r="D739" t="s">
        <v>18</v>
      </c>
      <c r="E739" t="s">
        <v>1588</v>
      </c>
      <c r="F739" t="str" cm="1">
        <f t="array" ref="F739">_xlfn.IFS(Table1[[#This Row],[Country]]="United States","US",Table1[[#This Row],[Country]]="United Kingdom","UK",TRUE,"EU")</f>
        <v>EU</v>
      </c>
      <c r="G739" cm="1">
        <f t="array" ref="G73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40" spans="1:7" x14ac:dyDescent="0.2">
      <c r="A740" t="s">
        <v>1237</v>
      </c>
      <c r="B740" t="s">
        <v>1852</v>
      </c>
      <c r="C740" t="s">
        <v>6</v>
      </c>
      <c r="D740" t="s">
        <v>25</v>
      </c>
      <c r="E740" t="s">
        <v>1640</v>
      </c>
      <c r="F740" t="str" cm="1">
        <f t="array" ref="F740">_xlfn.IFS(Table1[[#This Row],[Country]]="United States","US",Table1[[#This Row],[Country]]="United Kingdom","UK",TRUE,"EU")</f>
        <v>EU</v>
      </c>
      <c r="G740" cm="1">
        <f t="array" ref="G74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741" spans="1:7" x14ac:dyDescent="0.2">
      <c r="A741" t="s">
        <v>1238</v>
      </c>
      <c r="B741" t="s">
        <v>1853</v>
      </c>
      <c r="C741" t="s">
        <v>6</v>
      </c>
      <c r="D741" t="s">
        <v>191</v>
      </c>
      <c r="E741" t="s">
        <v>1635</v>
      </c>
      <c r="F741" t="str" cm="1">
        <f t="array" ref="F741">_xlfn.IFS(Table1[[#This Row],[Country]]="United States","US",Table1[[#This Row],[Country]]="United Kingdom","UK",TRUE,"EU")</f>
        <v>EU</v>
      </c>
      <c r="G741" cm="1">
        <f t="array" ref="G74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742" spans="1:7" x14ac:dyDescent="0.2">
      <c r="A742" t="s">
        <v>1239</v>
      </c>
      <c r="B742" t="s">
        <v>1854</v>
      </c>
      <c r="C742" t="s">
        <v>6</v>
      </c>
      <c r="D742" t="s">
        <v>7</v>
      </c>
      <c r="E742" t="s">
        <v>1635</v>
      </c>
      <c r="F742" t="str" cm="1">
        <f t="array" ref="F742">_xlfn.IFS(Table1[[#This Row],[Country]]="United States","US",Table1[[#This Row],[Country]]="United Kingdom","UK",TRUE,"EU")</f>
        <v>EU</v>
      </c>
      <c r="G742" cm="1">
        <f t="array" ref="G74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43" spans="1:7" x14ac:dyDescent="0.2">
      <c r="A743" t="s">
        <v>1240</v>
      </c>
      <c r="B743" t="s">
        <v>1854</v>
      </c>
      <c r="C743" t="s">
        <v>6</v>
      </c>
      <c r="D743" t="s">
        <v>7</v>
      </c>
      <c r="E743" t="s">
        <v>1635</v>
      </c>
      <c r="F743" t="str" cm="1">
        <f t="array" ref="F743">_xlfn.IFS(Table1[[#This Row],[Country]]="United States","US",Table1[[#This Row],[Country]]="United Kingdom","UK",TRUE,"EU")</f>
        <v>EU</v>
      </c>
      <c r="G743" cm="1">
        <f t="array" ref="G74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44" spans="1:7" x14ac:dyDescent="0.2">
      <c r="A744" t="s">
        <v>1241</v>
      </c>
      <c r="B744" t="s">
        <v>1855</v>
      </c>
      <c r="C744" t="s">
        <v>6</v>
      </c>
      <c r="D744" t="s">
        <v>7</v>
      </c>
      <c r="E744" t="s">
        <v>1650</v>
      </c>
      <c r="F744" t="str" cm="1">
        <f t="array" ref="F744">_xlfn.IFS(Table1[[#This Row],[Country]]="United States","US",Table1[[#This Row],[Country]]="United Kingdom","UK",TRUE,"EU")</f>
        <v>EU</v>
      </c>
      <c r="G744" cm="1">
        <f t="array" ref="G74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45" spans="1:7" x14ac:dyDescent="0.2">
      <c r="A745" t="s">
        <v>1242</v>
      </c>
      <c r="B745" t="s">
        <v>1856</v>
      </c>
      <c r="C745" t="s">
        <v>6</v>
      </c>
      <c r="D745" t="s">
        <v>1044</v>
      </c>
      <c r="E745" t="s">
        <v>1575</v>
      </c>
      <c r="F745" t="str" cm="1">
        <f t="array" ref="F745">_xlfn.IFS(Table1[[#This Row],[Country]]="United States","US",Table1[[#This Row],[Country]]="United Kingdom","UK",TRUE,"EU")</f>
        <v>UK</v>
      </c>
      <c r="G745" t="str" cm="1">
        <f t="array" ref="G74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n.a.</v>
      </c>
    </row>
    <row r="746" spans="1:7" x14ac:dyDescent="0.2">
      <c r="A746" t="s">
        <v>1243</v>
      </c>
      <c r="B746" t="s">
        <v>1857</v>
      </c>
      <c r="C746" t="s">
        <v>6</v>
      </c>
      <c r="D746" t="s">
        <v>7</v>
      </c>
      <c r="E746" t="s">
        <v>1626</v>
      </c>
      <c r="F746" t="str" cm="1">
        <f t="array" ref="F746">_xlfn.IFS(Table1[[#This Row],[Country]]="United States","US",Table1[[#This Row],[Country]]="United Kingdom","UK",TRUE,"EU")</f>
        <v>EU</v>
      </c>
      <c r="G746" cm="1">
        <f t="array" ref="G74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47" spans="1:7" x14ac:dyDescent="0.2">
      <c r="A747" t="s">
        <v>1244</v>
      </c>
      <c r="B747" t="s">
        <v>1858</v>
      </c>
      <c r="C747" t="s">
        <v>6</v>
      </c>
      <c r="D747" t="s">
        <v>1044</v>
      </c>
      <c r="E747" t="s">
        <v>1575</v>
      </c>
      <c r="F747" t="str" cm="1">
        <f t="array" ref="F747">_xlfn.IFS(Table1[[#This Row],[Country]]="United States","US",Table1[[#This Row],[Country]]="United Kingdom","UK",TRUE,"EU")</f>
        <v>UK</v>
      </c>
      <c r="G747" t="str" cm="1">
        <f t="array" ref="G74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n.a.</v>
      </c>
    </row>
    <row r="748" spans="1:7" x14ac:dyDescent="0.2">
      <c r="A748" t="s">
        <v>1245</v>
      </c>
      <c r="B748" t="s">
        <v>1859</v>
      </c>
      <c r="C748" t="s">
        <v>6</v>
      </c>
      <c r="D748" t="s">
        <v>33</v>
      </c>
      <c r="E748" t="s">
        <v>1650</v>
      </c>
      <c r="F748" t="str" cm="1">
        <f t="array" ref="F748">_xlfn.IFS(Table1[[#This Row],[Country]]="United States","US",Table1[[#This Row],[Country]]="United Kingdom","UK",TRUE,"EU")</f>
        <v>EU</v>
      </c>
      <c r="G748" cm="1">
        <f t="array" ref="G74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749" spans="1:7" x14ac:dyDescent="0.2">
      <c r="A749" t="s">
        <v>1246</v>
      </c>
      <c r="B749" t="s">
        <v>1860</v>
      </c>
      <c r="C749" t="s">
        <v>6</v>
      </c>
      <c r="D749" t="s">
        <v>25</v>
      </c>
      <c r="E749" t="s">
        <v>1582</v>
      </c>
      <c r="F749" t="str" cm="1">
        <f t="array" ref="F749">_xlfn.IFS(Table1[[#This Row],[Country]]="United States","US",Table1[[#This Row],[Country]]="United Kingdom","UK",TRUE,"EU")</f>
        <v>EU</v>
      </c>
      <c r="G749" cm="1">
        <f t="array" ref="G74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750" spans="1:7" x14ac:dyDescent="0.2">
      <c r="A750" t="s">
        <v>1247</v>
      </c>
      <c r="B750" t="s">
        <v>1861</v>
      </c>
      <c r="C750" t="s">
        <v>6</v>
      </c>
      <c r="D750" t="s">
        <v>33</v>
      </c>
      <c r="E750" t="s">
        <v>1650</v>
      </c>
      <c r="F750" t="str" cm="1">
        <f t="array" ref="F750">_xlfn.IFS(Table1[[#This Row],[Country]]="United States","US",Table1[[#This Row],[Country]]="United Kingdom","UK",TRUE,"EU")</f>
        <v>EU</v>
      </c>
      <c r="G750" cm="1">
        <f t="array" ref="G75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751" spans="1:7" x14ac:dyDescent="0.2">
      <c r="A751" t="s">
        <v>1248</v>
      </c>
      <c r="B751" t="s">
        <v>1862</v>
      </c>
      <c r="C751" t="s">
        <v>17</v>
      </c>
      <c r="D751" t="s">
        <v>33</v>
      </c>
      <c r="E751" t="s">
        <v>1635</v>
      </c>
      <c r="F751" t="str" cm="1">
        <f t="array" ref="F751">_xlfn.IFS(Table1[[#This Row],[Country]]="United States","US",Table1[[#This Row],[Country]]="United Kingdom","UK",TRUE,"EU")</f>
        <v>EU</v>
      </c>
      <c r="G751" cm="1">
        <f t="array" ref="G75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752" spans="1:7" x14ac:dyDescent="0.2">
      <c r="A752" t="s">
        <v>1249</v>
      </c>
      <c r="B752" t="s">
        <v>1863</v>
      </c>
      <c r="C752" t="s">
        <v>17</v>
      </c>
      <c r="D752" t="s">
        <v>7</v>
      </c>
      <c r="E752" t="s">
        <v>1599</v>
      </c>
      <c r="F752" t="str" cm="1">
        <f t="array" ref="F752">_xlfn.IFS(Table1[[#This Row],[Country]]="United States","US",Table1[[#This Row],[Country]]="United Kingdom","UK",TRUE,"EU")</f>
        <v>EU</v>
      </c>
      <c r="G752" cm="1">
        <f t="array" ref="G75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53" spans="1:7" x14ac:dyDescent="0.2">
      <c r="A753" t="s">
        <v>1250</v>
      </c>
      <c r="B753" t="s">
        <v>1864</v>
      </c>
      <c r="C753" t="s">
        <v>17</v>
      </c>
      <c r="D753" t="s">
        <v>18</v>
      </c>
      <c r="E753" t="s">
        <v>1717</v>
      </c>
      <c r="F753" t="str" cm="1">
        <f t="array" ref="F753">_xlfn.IFS(Table1[[#This Row],[Country]]="United States","US",Table1[[#This Row],[Country]]="United Kingdom","UK",TRUE,"EU")</f>
        <v>EU</v>
      </c>
      <c r="G753" cm="1">
        <f t="array" ref="G75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54" spans="1:7" x14ac:dyDescent="0.2">
      <c r="A754" t="s">
        <v>1251</v>
      </c>
      <c r="B754" t="s">
        <v>1865</v>
      </c>
      <c r="C754" t="s">
        <v>17</v>
      </c>
      <c r="D754" t="s">
        <v>42</v>
      </c>
      <c r="E754" t="s">
        <v>1619</v>
      </c>
      <c r="F754" t="str" cm="1">
        <f t="array" ref="F754">_xlfn.IFS(Table1[[#This Row],[Country]]="United States","US",Table1[[#This Row],[Country]]="United Kingdom","UK",TRUE,"EU")</f>
        <v>EU</v>
      </c>
      <c r="G754" cm="1">
        <f t="array" ref="G75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55" spans="1:7" x14ac:dyDescent="0.2">
      <c r="A755" t="s">
        <v>1252</v>
      </c>
      <c r="B755" t="s">
        <v>1866</v>
      </c>
      <c r="C755" t="s">
        <v>17</v>
      </c>
      <c r="D755" t="s">
        <v>16</v>
      </c>
      <c r="E755" t="s">
        <v>1640</v>
      </c>
      <c r="F755" t="str" cm="1">
        <f t="array" ref="F755">_xlfn.IFS(Table1[[#This Row],[Country]]="United States","US",Table1[[#This Row],[Country]]="United Kingdom","UK",TRUE,"EU")</f>
        <v>EU</v>
      </c>
      <c r="G755" cm="1">
        <f t="array" ref="G75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56" spans="1:7" x14ac:dyDescent="0.2">
      <c r="A756" t="s">
        <v>1253</v>
      </c>
      <c r="B756" t="s">
        <v>1867</v>
      </c>
      <c r="C756" t="s">
        <v>17</v>
      </c>
      <c r="D756" t="s">
        <v>7</v>
      </c>
      <c r="E756" t="s">
        <v>1635</v>
      </c>
      <c r="F756" t="str" cm="1">
        <f t="array" ref="F756">_xlfn.IFS(Table1[[#This Row],[Country]]="United States","US",Table1[[#This Row],[Country]]="United Kingdom","UK",TRUE,"EU")</f>
        <v>EU</v>
      </c>
      <c r="G756" cm="1">
        <f t="array" ref="G75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57" spans="1:7" x14ac:dyDescent="0.2">
      <c r="A757" t="s">
        <v>1254</v>
      </c>
      <c r="B757" t="s">
        <v>1868</v>
      </c>
      <c r="C757" t="s">
        <v>17</v>
      </c>
      <c r="D757" t="s">
        <v>7</v>
      </c>
      <c r="E757" t="s">
        <v>1798</v>
      </c>
      <c r="F757" t="str" cm="1">
        <f t="array" ref="F757">_xlfn.IFS(Table1[[#This Row],[Country]]="United States","US",Table1[[#This Row],[Country]]="United Kingdom","UK",TRUE,"EU")</f>
        <v>EU</v>
      </c>
      <c r="G757" cm="1">
        <f t="array" ref="G75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58" spans="1:7" x14ac:dyDescent="0.2">
      <c r="A758" t="s">
        <v>1255</v>
      </c>
      <c r="B758" t="s">
        <v>1869</v>
      </c>
      <c r="C758" t="s">
        <v>17</v>
      </c>
      <c r="D758" t="s">
        <v>42</v>
      </c>
      <c r="E758" t="s">
        <v>1588</v>
      </c>
      <c r="F758" t="str" cm="1">
        <f t="array" ref="F758">_xlfn.IFS(Table1[[#This Row],[Country]]="United States","US",Table1[[#This Row],[Country]]="United Kingdom","UK",TRUE,"EU")</f>
        <v>EU</v>
      </c>
      <c r="G758" cm="1">
        <f t="array" ref="G75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59" spans="1:7" x14ac:dyDescent="0.2">
      <c r="A759" t="s">
        <v>1256</v>
      </c>
      <c r="B759" t="s">
        <v>1870</v>
      </c>
      <c r="C759" t="s">
        <v>17</v>
      </c>
      <c r="D759" t="s">
        <v>7</v>
      </c>
      <c r="E759" t="s">
        <v>1871</v>
      </c>
      <c r="F759" t="str" cm="1">
        <f t="array" ref="F759">_xlfn.IFS(Table1[[#This Row],[Country]]="United States","US",Table1[[#This Row],[Country]]="United Kingdom","UK",TRUE,"EU")</f>
        <v>EU</v>
      </c>
      <c r="G759" cm="1">
        <f t="array" ref="G75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60" spans="1:7" x14ac:dyDescent="0.2">
      <c r="A760" t="s">
        <v>1257</v>
      </c>
      <c r="B760" t="s">
        <v>1872</v>
      </c>
      <c r="C760" t="s">
        <v>17</v>
      </c>
      <c r="D760" t="s">
        <v>25</v>
      </c>
      <c r="E760" t="s">
        <v>1650</v>
      </c>
      <c r="F760" t="str" cm="1">
        <f t="array" ref="F760">_xlfn.IFS(Table1[[#This Row],[Country]]="United States","US",Table1[[#This Row],[Country]]="United Kingdom","UK",TRUE,"EU")</f>
        <v>EU</v>
      </c>
      <c r="G760" cm="1">
        <f t="array" ref="G76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761" spans="1:7" x14ac:dyDescent="0.2">
      <c r="A761" t="s">
        <v>1258</v>
      </c>
      <c r="B761" t="s">
        <v>1873</v>
      </c>
      <c r="C761" t="s">
        <v>17</v>
      </c>
      <c r="D761" t="s">
        <v>25</v>
      </c>
      <c r="E761" t="s">
        <v>1619</v>
      </c>
      <c r="F761" t="str" cm="1">
        <f t="array" ref="F761">_xlfn.IFS(Table1[[#This Row],[Country]]="United States","US",Table1[[#This Row],[Country]]="United Kingdom","UK",TRUE,"EU")</f>
        <v>EU</v>
      </c>
      <c r="G761" cm="1">
        <f t="array" ref="G76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762" spans="1:7" x14ac:dyDescent="0.2">
      <c r="A762" t="s">
        <v>1259</v>
      </c>
      <c r="B762" t="s">
        <v>1874</v>
      </c>
      <c r="C762" t="s">
        <v>17</v>
      </c>
      <c r="D762" t="s">
        <v>16</v>
      </c>
      <c r="E762" t="s">
        <v>1635</v>
      </c>
      <c r="F762" t="str" cm="1">
        <f t="array" ref="F762">_xlfn.IFS(Table1[[#This Row],[Country]]="United States","US",Table1[[#This Row],[Country]]="United Kingdom","UK",TRUE,"EU")</f>
        <v>EU</v>
      </c>
      <c r="G762" cm="1">
        <f t="array" ref="G76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63" spans="1:7" x14ac:dyDescent="0.2">
      <c r="A763" t="s">
        <v>1260</v>
      </c>
      <c r="B763" t="s">
        <v>1875</v>
      </c>
      <c r="C763" t="s">
        <v>17</v>
      </c>
      <c r="D763" t="s">
        <v>16</v>
      </c>
      <c r="E763" t="s">
        <v>1640</v>
      </c>
      <c r="F763" t="str" cm="1">
        <f t="array" ref="F763">_xlfn.IFS(Table1[[#This Row],[Country]]="United States","US",Table1[[#This Row],[Country]]="United Kingdom","UK",TRUE,"EU")</f>
        <v>EU</v>
      </c>
      <c r="G763" cm="1">
        <f t="array" ref="G76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64" spans="1:7" x14ac:dyDescent="0.2">
      <c r="A764" t="s">
        <v>1261</v>
      </c>
      <c r="B764" t="s">
        <v>1876</v>
      </c>
      <c r="C764" t="s">
        <v>17</v>
      </c>
      <c r="D764" t="s">
        <v>7</v>
      </c>
      <c r="E764" t="s">
        <v>1621</v>
      </c>
      <c r="F764" t="str" cm="1">
        <f t="array" ref="F764">_xlfn.IFS(Table1[[#This Row],[Country]]="United States","US",Table1[[#This Row],[Country]]="United Kingdom","UK",TRUE,"EU")</f>
        <v>EU</v>
      </c>
      <c r="G764" cm="1">
        <f t="array" ref="G76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65" spans="1:7" x14ac:dyDescent="0.2">
      <c r="A765" t="s">
        <v>1262</v>
      </c>
      <c r="B765" t="s">
        <v>1877</v>
      </c>
      <c r="C765" t="s">
        <v>17</v>
      </c>
      <c r="D765" t="s">
        <v>16</v>
      </c>
      <c r="E765" t="s">
        <v>1582</v>
      </c>
      <c r="F765" t="str" cm="1">
        <f t="array" ref="F765">_xlfn.IFS(Table1[[#This Row],[Country]]="United States","US",Table1[[#This Row],[Country]]="United Kingdom","UK",TRUE,"EU")</f>
        <v>EU</v>
      </c>
      <c r="G765" cm="1">
        <f t="array" ref="G76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66" spans="1:7" x14ac:dyDescent="0.2">
      <c r="A766" t="s">
        <v>1263</v>
      </c>
      <c r="B766" t="s">
        <v>1878</v>
      </c>
      <c r="C766" t="s">
        <v>17</v>
      </c>
      <c r="D766" t="s">
        <v>18</v>
      </c>
      <c r="E766" t="s">
        <v>1588</v>
      </c>
      <c r="F766" t="str" cm="1">
        <f t="array" ref="F766">_xlfn.IFS(Table1[[#This Row],[Country]]="United States","US",Table1[[#This Row],[Country]]="United Kingdom","UK",TRUE,"EU")</f>
        <v>EU</v>
      </c>
      <c r="G766" cm="1">
        <f t="array" ref="G76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67" spans="1:7" x14ac:dyDescent="0.2">
      <c r="A767" t="s">
        <v>1264</v>
      </c>
      <c r="B767" t="s">
        <v>1879</v>
      </c>
      <c r="C767" t="s">
        <v>17</v>
      </c>
      <c r="D767" t="s">
        <v>25</v>
      </c>
      <c r="E767" t="s">
        <v>1582</v>
      </c>
      <c r="F767" t="str" cm="1">
        <f t="array" ref="F767">_xlfn.IFS(Table1[[#This Row],[Country]]="United States","US",Table1[[#This Row],[Country]]="United Kingdom","UK",TRUE,"EU")</f>
        <v>EU</v>
      </c>
      <c r="G767" cm="1">
        <f t="array" ref="G76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768" spans="1:7" x14ac:dyDescent="0.2">
      <c r="A768" t="s">
        <v>1265</v>
      </c>
      <c r="B768" t="s">
        <v>1880</v>
      </c>
      <c r="C768" t="s">
        <v>17</v>
      </c>
      <c r="D768" t="s">
        <v>7</v>
      </c>
      <c r="E768" t="s">
        <v>1584</v>
      </c>
      <c r="F768" t="str" cm="1">
        <f t="array" ref="F768">_xlfn.IFS(Table1[[#This Row],[Country]]="United States","US",Table1[[#This Row],[Country]]="United Kingdom","UK",TRUE,"EU")</f>
        <v>EU</v>
      </c>
      <c r="G768" cm="1">
        <f t="array" ref="G76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69" spans="1:7" x14ac:dyDescent="0.2">
      <c r="A769" t="s">
        <v>1266</v>
      </c>
      <c r="B769" t="s">
        <v>1881</v>
      </c>
      <c r="C769" t="s">
        <v>17</v>
      </c>
      <c r="D769" t="s">
        <v>33</v>
      </c>
      <c r="E769" t="s">
        <v>1650</v>
      </c>
      <c r="F769" t="str" cm="1">
        <f t="array" ref="F769">_xlfn.IFS(Table1[[#This Row],[Country]]="United States","US",Table1[[#This Row],[Country]]="United Kingdom","UK",TRUE,"EU")</f>
        <v>EU</v>
      </c>
      <c r="G769" cm="1">
        <f t="array" ref="G76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770" spans="1:7" x14ac:dyDescent="0.2">
      <c r="A770" t="s">
        <v>1267</v>
      </c>
      <c r="B770" t="s">
        <v>1882</v>
      </c>
      <c r="C770" t="s">
        <v>17</v>
      </c>
      <c r="D770" t="s">
        <v>18</v>
      </c>
      <c r="E770" t="s">
        <v>1883</v>
      </c>
      <c r="F770" t="str" cm="1">
        <f t="array" ref="F770">_xlfn.IFS(Table1[[#This Row],[Country]]="United States","US",Table1[[#This Row],[Country]]="United Kingdom","UK",TRUE,"EU")</f>
        <v>EU</v>
      </c>
      <c r="G770" cm="1">
        <f t="array" ref="G77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71" spans="1:7" x14ac:dyDescent="0.2">
      <c r="A771" t="s">
        <v>1268</v>
      </c>
      <c r="B771" t="s">
        <v>1884</v>
      </c>
      <c r="C771" t="s">
        <v>17</v>
      </c>
      <c r="D771" t="s">
        <v>25</v>
      </c>
      <c r="E771" t="s">
        <v>1599</v>
      </c>
      <c r="F771" t="str" cm="1">
        <f t="array" ref="F771">_xlfn.IFS(Table1[[#This Row],[Country]]="United States","US",Table1[[#This Row],[Country]]="United Kingdom","UK",TRUE,"EU")</f>
        <v>EU</v>
      </c>
      <c r="G771" cm="1">
        <f t="array" ref="G77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772" spans="1:7" x14ac:dyDescent="0.2">
      <c r="A772" t="s">
        <v>1269</v>
      </c>
      <c r="B772" t="s">
        <v>1885</v>
      </c>
      <c r="C772" t="s">
        <v>17</v>
      </c>
      <c r="D772" t="s">
        <v>7</v>
      </c>
      <c r="E772" t="s">
        <v>1599</v>
      </c>
      <c r="F772" t="str" cm="1">
        <f t="array" ref="F772">_xlfn.IFS(Table1[[#This Row],[Country]]="United States","US",Table1[[#This Row],[Country]]="United Kingdom","UK",TRUE,"EU")</f>
        <v>EU</v>
      </c>
      <c r="G772" cm="1">
        <f t="array" ref="G77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73" spans="1:7" x14ac:dyDescent="0.2">
      <c r="A773" t="s">
        <v>1270</v>
      </c>
      <c r="B773" t="s">
        <v>1886</v>
      </c>
      <c r="C773" t="s">
        <v>17</v>
      </c>
      <c r="D773" t="s">
        <v>18</v>
      </c>
      <c r="E773" t="s">
        <v>1621</v>
      </c>
      <c r="F773" t="str" cm="1">
        <f t="array" ref="F773">_xlfn.IFS(Table1[[#This Row],[Country]]="United States","US",Table1[[#This Row],[Country]]="United Kingdom","UK",TRUE,"EU")</f>
        <v>EU</v>
      </c>
      <c r="G773" cm="1">
        <f t="array" ref="G77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74" spans="1:7" x14ac:dyDescent="0.2">
      <c r="A774" t="s">
        <v>1271</v>
      </c>
      <c r="B774" t="s">
        <v>1887</v>
      </c>
      <c r="C774" t="s">
        <v>17</v>
      </c>
      <c r="D774" t="s">
        <v>18</v>
      </c>
      <c r="E774" t="s">
        <v>1883</v>
      </c>
      <c r="F774" t="str" cm="1">
        <f t="array" ref="F774">_xlfn.IFS(Table1[[#This Row],[Country]]="United States","US",Table1[[#This Row],[Country]]="United Kingdom","UK",TRUE,"EU")</f>
        <v>EU</v>
      </c>
      <c r="G774" cm="1">
        <f t="array" ref="G77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75" spans="1:7" x14ac:dyDescent="0.2">
      <c r="A775" t="s">
        <v>1272</v>
      </c>
      <c r="B775" t="s">
        <v>1888</v>
      </c>
      <c r="C775" t="s">
        <v>17</v>
      </c>
      <c r="D775" t="s">
        <v>188</v>
      </c>
      <c r="E775" t="s">
        <v>1635</v>
      </c>
      <c r="F775" t="str" cm="1">
        <f t="array" ref="F775">_xlfn.IFS(Table1[[#This Row],[Country]]="United States","US",Table1[[#This Row],[Country]]="United Kingdom","UK",TRUE,"EU")</f>
        <v>EU</v>
      </c>
      <c r="G775" cm="1">
        <f t="array" ref="G77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776" spans="1:7" x14ac:dyDescent="0.2">
      <c r="A776" t="s">
        <v>1273</v>
      </c>
      <c r="B776" t="s">
        <v>1889</v>
      </c>
      <c r="C776" t="s">
        <v>17</v>
      </c>
      <c r="D776" t="s">
        <v>7</v>
      </c>
      <c r="E776" t="s">
        <v>1640</v>
      </c>
      <c r="F776" t="str" cm="1">
        <f t="array" ref="F776">_xlfn.IFS(Table1[[#This Row],[Country]]="United States","US",Table1[[#This Row],[Country]]="United Kingdom","UK",TRUE,"EU")</f>
        <v>EU</v>
      </c>
      <c r="G776" cm="1">
        <f t="array" ref="G77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77" spans="1:7" x14ac:dyDescent="0.2">
      <c r="A777" t="s">
        <v>1274</v>
      </c>
      <c r="B777" t="s">
        <v>1890</v>
      </c>
      <c r="C777" t="s">
        <v>17</v>
      </c>
      <c r="D777" t="s">
        <v>21</v>
      </c>
      <c r="E777" t="s">
        <v>1650</v>
      </c>
      <c r="F777" t="str" cm="1">
        <f t="array" ref="F777">_xlfn.IFS(Table1[[#This Row],[Country]]="United States","US",Table1[[#This Row],[Country]]="United Kingdom","UK",TRUE,"EU")</f>
        <v>EU</v>
      </c>
      <c r="G777" cm="1">
        <f t="array" ref="G77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778" spans="1:7" x14ac:dyDescent="0.2">
      <c r="A778" t="s">
        <v>1275</v>
      </c>
      <c r="B778" t="s">
        <v>1891</v>
      </c>
      <c r="C778" t="s">
        <v>17</v>
      </c>
      <c r="D778" t="s">
        <v>1044</v>
      </c>
      <c r="E778" t="s">
        <v>1574</v>
      </c>
      <c r="F778" t="str" cm="1">
        <f t="array" ref="F778">_xlfn.IFS(Table1[[#This Row],[Country]]="United States","US",Table1[[#This Row],[Country]]="United Kingdom","UK",TRUE,"EU")</f>
        <v>US</v>
      </c>
      <c r="G778" t="str" cm="1">
        <f t="array" ref="G77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n.a.</v>
      </c>
    </row>
    <row r="779" spans="1:7" x14ac:dyDescent="0.2">
      <c r="A779" t="s">
        <v>1276</v>
      </c>
      <c r="B779" t="s">
        <v>1892</v>
      </c>
      <c r="C779" t="s">
        <v>17</v>
      </c>
      <c r="D779" t="s">
        <v>25</v>
      </c>
      <c r="E779" t="s">
        <v>1588</v>
      </c>
      <c r="F779" t="str" cm="1">
        <f t="array" ref="F779">_xlfn.IFS(Table1[[#This Row],[Country]]="United States","US",Table1[[#This Row],[Country]]="United Kingdom","UK",TRUE,"EU")</f>
        <v>EU</v>
      </c>
      <c r="G779" cm="1">
        <f t="array" ref="G77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780" spans="1:7" x14ac:dyDescent="0.2">
      <c r="A780" t="s">
        <v>1277</v>
      </c>
      <c r="B780" t="s">
        <v>1277</v>
      </c>
      <c r="C780" t="s">
        <v>17</v>
      </c>
      <c r="D780" t="s">
        <v>7</v>
      </c>
      <c r="E780" t="s">
        <v>1588</v>
      </c>
      <c r="F780" t="str" cm="1">
        <f t="array" ref="F780">_xlfn.IFS(Table1[[#This Row],[Country]]="United States","US",Table1[[#This Row],[Country]]="United Kingdom","UK",TRUE,"EU")</f>
        <v>EU</v>
      </c>
      <c r="G780" cm="1">
        <f t="array" ref="G78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81" spans="1:7" x14ac:dyDescent="0.2">
      <c r="A781" t="s">
        <v>1278</v>
      </c>
      <c r="B781" t="s">
        <v>1893</v>
      </c>
      <c r="C781" t="s">
        <v>17</v>
      </c>
      <c r="D781" t="s">
        <v>18</v>
      </c>
      <c r="E781" t="s">
        <v>1599</v>
      </c>
      <c r="F781" t="str" cm="1">
        <f t="array" ref="F781">_xlfn.IFS(Table1[[#This Row],[Country]]="United States","US",Table1[[#This Row],[Country]]="United Kingdom","UK",TRUE,"EU")</f>
        <v>EU</v>
      </c>
      <c r="G781" cm="1">
        <f t="array" ref="G78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82" spans="1:7" x14ac:dyDescent="0.2">
      <c r="A782" t="s">
        <v>1279</v>
      </c>
      <c r="B782" t="s">
        <v>1894</v>
      </c>
      <c r="C782" t="s">
        <v>17</v>
      </c>
      <c r="D782" t="s">
        <v>18</v>
      </c>
      <c r="E782" t="s">
        <v>1650</v>
      </c>
      <c r="F782" t="str" cm="1">
        <f t="array" ref="F782">_xlfn.IFS(Table1[[#This Row],[Country]]="United States","US",Table1[[#This Row],[Country]]="United Kingdom","UK",TRUE,"EU")</f>
        <v>EU</v>
      </c>
      <c r="G782" cm="1">
        <f t="array" ref="G78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83" spans="1:7" x14ac:dyDescent="0.2">
      <c r="A783" t="s">
        <v>1280</v>
      </c>
      <c r="B783" t="s">
        <v>1895</v>
      </c>
      <c r="C783" t="s">
        <v>17</v>
      </c>
      <c r="D783" t="s">
        <v>42</v>
      </c>
      <c r="E783" t="s">
        <v>1717</v>
      </c>
      <c r="F783" t="str" cm="1">
        <f t="array" ref="F783">_xlfn.IFS(Table1[[#This Row],[Country]]="United States","US",Table1[[#This Row],[Country]]="United Kingdom","UK",TRUE,"EU")</f>
        <v>EU</v>
      </c>
      <c r="G783" cm="1">
        <f t="array" ref="G78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84" spans="1:7" x14ac:dyDescent="0.2">
      <c r="A784" t="s">
        <v>1281</v>
      </c>
      <c r="B784" t="s">
        <v>1896</v>
      </c>
      <c r="C784" t="s">
        <v>17</v>
      </c>
      <c r="D784" t="s">
        <v>21</v>
      </c>
      <c r="E784" t="s">
        <v>1650</v>
      </c>
      <c r="F784" t="str" cm="1">
        <f t="array" ref="F784">_xlfn.IFS(Table1[[#This Row],[Country]]="United States","US",Table1[[#This Row],[Country]]="United Kingdom","UK",TRUE,"EU")</f>
        <v>EU</v>
      </c>
      <c r="G784" cm="1">
        <f t="array" ref="G78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785" spans="1:7" x14ac:dyDescent="0.2">
      <c r="A785" t="s">
        <v>1282</v>
      </c>
      <c r="B785" t="s">
        <v>1897</v>
      </c>
      <c r="C785" t="s">
        <v>17</v>
      </c>
      <c r="D785" t="s">
        <v>7</v>
      </c>
      <c r="E785" t="s">
        <v>1599</v>
      </c>
      <c r="F785" t="str" cm="1">
        <f t="array" ref="F785">_xlfn.IFS(Table1[[#This Row],[Country]]="United States","US",Table1[[#This Row],[Country]]="United Kingdom","UK",TRUE,"EU")</f>
        <v>EU</v>
      </c>
      <c r="G785" cm="1">
        <f t="array" ref="G78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86" spans="1:7" x14ac:dyDescent="0.2">
      <c r="A786" t="s">
        <v>1283</v>
      </c>
      <c r="B786" t="s">
        <v>1898</v>
      </c>
      <c r="C786" t="s">
        <v>17</v>
      </c>
      <c r="D786" t="s">
        <v>21</v>
      </c>
      <c r="E786" t="s">
        <v>1588</v>
      </c>
      <c r="F786" t="str" cm="1">
        <f t="array" ref="F786">_xlfn.IFS(Table1[[#This Row],[Country]]="United States","US",Table1[[#This Row],[Country]]="United Kingdom","UK",TRUE,"EU")</f>
        <v>EU</v>
      </c>
      <c r="G786" cm="1">
        <f t="array" ref="G78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787" spans="1:7" x14ac:dyDescent="0.2">
      <c r="A787" t="s">
        <v>1284</v>
      </c>
      <c r="B787" t="s">
        <v>1899</v>
      </c>
      <c r="C787" t="s">
        <v>17</v>
      </c>
      <c r="D787" t="s">
        <v>33</v>
      </c>
      <c r="E787" t="s">
        <v>1650</v>
      </c>
      <c r="F787" t="str" cm="1">
        <f t="array" ref="F787">_xlfn.IFS(Table1[[#This Row],[Country]]="United States","US",Table1[[#This Row],[Country]]="United Kingdom","UK",TRUE,"EU")</f>
        <v>EU</v>
      </c>
      <c r="G787" cm="1">
        <f t="array" ref="G78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788" spans="1:7" x14ac:dyDescent="0.2">
      <c r="A788" t="s">
        <v>1285</v>
      </c>
      <c r="B788" t="s">
        <v>1900</v>
      </c>
      <c r="C788" t="s">
        <v>17</v>
      </c>
      <c r="D788" t="s">
        <v>33</v>
      </c>
      <c r="E788" t="s">
        <v>1640</v>
      </c>
      <c r="F788" t="str" cm="1">
        <f t="array" ref="F788">_xlfn.IFS(Table1[[#This Row],[Country]]="United States","US",Table1[[#This Row],[Country]]="United Kingdom","UK",TRUE,"EU")</f>
        <v>EU</v>
      </c>
      <c r="G788" cm="1">
        <f t="array" ref="G78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789" spans="1:7" x14ac:dyDescent="0.2">
      <c r="A789" t="s">
        <v>1286</v>
      </c>
      <c r="B789" t="s">
        <v>1901</v>
      </c>
      <c r="C789" t="s">
        <v>17</v>
      </c>
      <c r="D789" t="s">
        <v>1044</v>
      </c>
      <c r="E789" t="s">
        <v>1579</v>
      </c>
      <c r="F789" t="str" cm="1">
        <f t="array" ref="F789">_xlfn.IFS(Table1[[#This Row],[Country]]="United States","US",Table1[[#This Row],[Country]]="United Kingdom","UK",TRUE,"EU")</f>
        <v>EU</v>
      </c>
      <c r="G789" t="str" cm="1">
        <f t="array" ref="G78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n.a.</v>
      </c>
    </row>
    <row r="790" spans="1:7" x14ac:dyDescent="0.2">
      <c r="A790" t="s">
        <v>1287</v>
      </c>
      <c r="B790" t="s">
        <v>1902</v>
      </c>
      <c r="C790" t="s">
        <v>17</v>
      </c>
      <c r="D790" t="s">
        <v>191</v>
      </c>
      <c r="E790" t="s">
        <v>1582</v>
      </c>
      <c r="F790" t="str" cm="1">
        <f t="array" ref="F790">_xlfn.IFS(Table1[[#This Row],[Country]]="United States","US",Table1[[#This Row],[Country]]="United Kingdom","UK",TRUE,"EU")</f>
        <v>EU</v>
      </c>
      <c r="G790" cm="1">
        <f t="array" ref="G79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791" spans="1:7" x14ac:dyDescent="0.2">
      <c r="A791" t="s">
        <v>1288</v>
      </c>
      <c r="B791" t="s">
        <v>1903</v>
      </c>
      <c r="C791" t="s">
        <v>17</v>
      </c>
      <c r="D791" t="s">
        <v>118</v>
      </c>
      <c r="E791" t="s">
        <v>1582</v>
      </c>
      <c r="F791" t="str" cm="1">
        <f t="array" ref="F791">_xlfn.IFS(Table1[[#This Row],[Country]]="United States","US",Table1[[#This Row],[Country]]="United Kingdom","UK",TRUE,"EU")</f>
        <v>EU</v>
      </c>
      <c r="G791" cm="1">
        <f t="array" ref="G79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92" spans="1:7" x14ac:dyDescent="0.2">
      <c r="A792" t="s">
        <v>1289</v>
      </c>
      <c r="B792" t="s">
        <v>1904</v>
      </c>
      <c r="C792" t="s">
        <v>17</v>
      </c>
      <c r="D792" t="s">
        <v>33</v>
      </c>
      <c r="E792" t="s">
        <v>1599</v>
      </c>
      <c r="F792" t="str" cm="1">
        <f t="array" ref="F792">_xlfn.IFS(Table1[[#This Row],[Country]]="United States","US",Table1[[#This Row],[Country]]="United Kingdom","UK",TRUE,"EU")</f>
        <v>EU</v>
      </c>
      <c r="G792" cm="1">
        <f t="array" ref="G79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793" spans="1:7" x14ac:dyDescent="0.2">
      <c r="A793" t="s">
        <v>1290</v>
      </c>
      <c r="B793" t="s">
        <v>1905</v>
      </c>
      <c r="C793" t="s">
        <v>17</v>
      </c>
      <c r="D793" t="s">
        <v>1581</v>
      </c>
      <c r="E793" t="s">
        <v>1635</v>
      </c>
      <c r="F793" t="str" cm="1">
        <f t="array" ref="F793">_xlfn.IFS(Table1[[#This Row],[Country]]="United States","US",Table1[[#This Row],[Country]]="United Kingdom","UK",TRUE,"EU")</f>
        <v>EU</v>
      </c>
      <c r="G793" t="str" cm="1">
        <f t="array" ref="G79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n.a.</v>
      </c>
    </row>
    <row r="794" spans="1:7" x14ac:dyDescent="0.2">
      <c r="A794" t="s">
        <v>1291</v>
      </c>
      <c r="B794" t="s">
        <v>1906</v>
      </c>
      <c r="C794" t="s">
        <v>17</v>
      </c>
      <c r="D794" t="s">
        <v>1044</v>
      </c>
      <c r="E794" t="s">
        <v>1575</v>
      </c>
      <c r="F794" t="str" cm="1">
        <f t="array" ref="F794">_xlfn.IFS(Table1[[#This Row],[Country]]="United States","US",Table1[[#This Row],[Country]]="United Kingdom","UK",TRUE,"EU")</f>
        <v>UK</v>
      </c>
      <c r="G794" t="str" cm="1">
        <f t="array" ref="G79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n.a.</v>
      </c>
    </row>
    <row r="795" spans="1:7" x14ac:dyDescent="0.2">
      <c r="A795" t="s">
        <v>1292</v>
      </c>
      <c r="B795" t="s">
        <v>1907</v>
      </c>
      <c r="C795" t="s">
        <v>17</v>
      </c>
      <c r="D795" t="s">
        <v>7</v>
      </c>
      <c r="E795" t="s">
        <v>1599</v>
      </c>
      <c r="F795" t="str" cm="1">
        <f t="array" ref="F795">_xlfn.IFS(Table1[[#This Row],[Country]]="United States","US",Table1[[#This Row],[Country]]="United Kingdom","UK",TRUE,"EU")</f>
        <v>EU</v>
      </c>
      <c r="G795" cm="1">
        <f t="array" ref="G79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96" spans="1:7" x14ac:dyDescent="0.2">
      <c r="A796" t="s">
        <v>1293</v>
      </c>
      <c r="B796" t="s">
        <v>1908</v>
      </c>
      <c r="C796" t="s">
        <v>17</v>
      </c>
      <c r="D796" t="s">
        <v>7</v>
      </c>
      <c r="E796" t="s">
        <v>1640</v>
      </c>
      <c r="F796" t="str" cm="1">
        <f t="array" ref="F796">_xlfn.IFS(Table1[[#This Row],[Country]]="United States","US",Table1[[#This Row],[Country]]="United Kingdom","UK",TRUE,"EU")</f>
        <v>EU</v>
      </c>
      <c r="G796" cm="1">
        <f t="array" ref="G79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97" spans="1:7" x14ac:dyDescent="0.2">
      <c r="A797" t="s">
        <v>1294</v>
      </c>
      <c r="B797" t="s">
        <v>1909</v>
      </c>
      <c r="C797" t="s">
        <v>17</v>
      </c>
      <c r="D797" t="s">
        <v>118</v>
      </c>
      <c r="E797" t="s">
        <v>1652</v>
      </c>
      <c r="F797" t="str" cm="1">
        <f t="array" ref="F797">_xlfn.IFS(Table1[[#This Row],[Country]]="United States","US",Table1[[#This Row],[Country]]="United Kingdom","UK",TRUE,"EU")</f>
        <v>EU</v>
      </c>
      <c r="G797" cm="1">
        <f t="array" ref="G79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798" spans="1:7" x14ac:dyDescent="0.2">
      <c r="A798" t="s">
        <v>1295</v>
      </c>
      <c r="B798" t="s">
        <v>1910</v>
      </c>
      <c r="C798" t="s">
        <v>17</v>
      </c>
      <c r="D798" t="s">
        <v>25</v>
      </c>
      <c r="E798" t="s">
        <v>1798</v>
      </c>
      <c r="F798" t="str" cm="1">
        <f t="array" ref="F798">_xlfn.IFS(Table1[[#This Row],[Country]]="United States","US",Table1[[#This Row],[Country]]="United Kingdom","UK",TRUE,"EU")</f>
        <v>EU</v>
      </c>
      <c r="G798" cm="1">
        <f t="array" ref="G79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799" spans="1:7" x14ac:dyDescent="0.2">
      <c r="A799" t="s">
        <v>1296</v>
      </c>
      <c r="B799" t="s">
        <v>1911</v>
      </c>
      <c r="C799" t="s">
        <v>17</v>
      </c>
      <c r="D799" t="s">
        <v>18</v>
      </c>
      <c r="E799" t="s">
        <v>1588</v>
      </c>
      <c r="F799" t="str" cm="1">
        <f t="array" ref="F799">_xlfn.IFS(Table1[[#This Row],[Country]]="United States","US",Table1[[#This Row],[Country]]="United Kingdom","UK",TRUE,"EU")</f>
        <v>EU</v>
      </c>
      <c r="G799" cm="1">
        <f t="array" ref="G79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00" spans="1:7" x14ac:dyDescent="0.2">
      <c r="A800" t="s">
        <v>1297</v>
      </c>
      <c r="B800" t="s">
        <v>1912</v>
      </c>
      <c r="C800" t="s">
        <v>17</v>
      </c>
      <c r="D800" t="s">
        <v>191</v>
      </c>
      <c r="E800" t="s">
        <v>1650</v>
      </c>
      <c r="F800" t="str" cm="1">
        <f t="array" ref="F800">_xlfn.IFS(Table1[[#This Row],[Country]]="United States","US",Table1[[#This Row],[Country]]="United Kingdom","UK",TRUE,"EU")</f>
        <v>EU</v>
      </c>
      <c r="G800" cm="1">
        <f t="array" ref="G80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801" spans="1:7" x14ac:dyDescent="0.2">
      <c r="A801" t="s">
        <v>1298</v>
      </c>
      <c r="B801" t="s">
        <v>1913</v>
      </c>
      <c r="C801" t="s">
        <v>17</v>
      </c>
      <c r="D801" t="s">
        <v>25</v>
      </c>
      <c r="E801" t="s">
        <v>1621</v>
      </c>
      <c r="F801" t="str" cm="1">
        <f t="array" ref="F801">_xlfn.IFS(Table1[[#This Row],[Country]]="United States","US",Table1[[#This Row],[Country]]="United Kingdom","UK",TRUE,"EU")</f>
        <v>EU</v>
      </c>
      <c r="G801" cm="1">
        <f t="array" ref="G80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802" spans="1:7" x14ac:dyDescent="0.2">
      <c r="A802" t="s">
        <v>1299</v>
      </c>
      <c r="B802" t="s">
        <v>1914</v>
      </c>
      <c r="C802" t="s">
        <v>17</v>
      </c>
      <c r="D802" t="s">
        <v>33</v>
      </c>
      <c r="E802" t="s">
        <v>1599</v>
      </c>
      <c r="F802" t="str" cm="1">
        <f t="array" ref="F802">_xlfn.IFS(Table1[[#This Row],[Country]]="United States","US",Table1[[#This Row],[Country]]="United Kingdom","UK",TRUE,"EU")</f>
        <v>EU</v>
      </c>
      <c r="G802" cm="1">
        <f t="array" ref="G80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803" spans="1:7" x14ac:dyDescent="0.2">
      <c r="A803" t="s">
        <v>1300</v>
      </c>
      <c r="B803" t="s">
        <v>1915</v>
      </c>
      <c r="C803" t="s">
        <v>17</v>
      </c>
      <c r="D803" t="s">
        <v>7</v>
      </c>
      <c r="E803" t="s">
        <v>1599</v>
      </c>
      <c r="F803" t="str" cm="1">
        <f t="array" ref="F803">_xlfn.IFS(Table1[[#This Row],[Country]]="United States","US",Table1[[#This Row],[Country]]="United Kingdom","UK",TRUE,"EU")</f>
        <v>EU</v>
      </c>
      <c r="G803" cm="1">
        <f t="array" ref="G80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04" spans="1:7" x14ac:dyDescent="0.2">
      <c r="A804" t="s">
        <v>1301</v>
      </c>
      <c r="B804" t="s">
        <v>1916</v>
      </c>
      <c r="C804" t="s">
        <v>17</v>
      </c>
      <c r="D804" t="s">
        <v>33</v>
      </c>
      <c r="E804" t="s">
        <v>1640</v>
      </c>
      <c r="F804" t="str" cm="1">
        <f t="array" ref="F804">_xlfn.IFS(Table1[[#This Row],[Country]]="United States","US",Table1[[#This Row],[Country]]="United Kingdom","UK",TRUE,"EU")</f>
        <v>EU</v>
      </c>
      <c r="G804" cm="1">
        <f t="array" ref="G80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805" spans="1:7" x14ac:dyDescent="0.2">
      <c r="A805" t="s">
        <v>1302</v>
      </c>
      <c r="B805" t="s">
        <v>1917</v>
      </c>
      <c r="C805" t="s">
        <v>17</v>
      </c>
      <c r="D805" t="s">
        <v>7</v>
      </c>
      <c r="E805" t="s">
        <v>1599</v>
      </c>
      <c r="F805" t="str" cm="1">
        <f t="array" ref="F805">_xlfn.IFS(Table1[[#This Row],[Country]]="United States","US",Table1[[#This Row],[Country]]="United Kingdom","UK",TRUE,"EU")</f>
        <v>EU</v>
      </c>
      <c r="G805" cm="1">
        <f t="array" ref="G80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06" spans="1:7" x14ac:dyDescent="0.2">
      <c r="A806" t="s">
        <v>1303</v>
      </c>
      <c r="B806" t="s">
        <v>1918</v>
      </c>
      <c r="C806" t="s">
        <v>17</v>
      </c>
      <c r="D806" t="s">
        <v>16</v>
      </c>
      <c r="E806" t="s">
        <v>1668</v>
      </c>
      <c r="F806" t="str" cm="1">
        <f t="array" ref="F806">_xlfn.IFS(Table1[[#This Row],[Country]]="United States","US",Table1[[#This Row],[Country]]="United Kingdom","UK",TRUE,"EU")</f>
        <v>EU</v>
      </c>
      <c r="G806" cm="1">
        <f t="array" ref="G80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07" spans="1:7" x14ac:dyDescent="0.2">
      <c r="A807" t="s">
        <v>1304</v>
      </c>
      <c r="B807" t="s">
        <v>1919</v>
      </c>
      <c r="C807" t="s">
        <v>17</v>
      </c>
      <c r="D807" t="s">
        <v>33</v>
      </c>
      <c r="E807" t="s">
        <v>1650</v>
      </c>
      <c r="F807" t="str" cm="1">
        <f t="array" ref="F807">_xlfn.IFS(Table1[[#This Row],[Country]]="United States","US",Table1[[#This Row],[Country]]="United Kingdom","UK",TRUE,"EU")</f>
        <v>EU</v>
      </c>
      <c r="G807" cm="1">
        <f t="array" ref="G80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808" spans="1:7" x14ac:dyDescent="0.2">
      <c r="A808" t="s">
        <v>1305</v>
      </c>
      <c r="B808" t="s">
        <v>1920</v>
      </c>
      <c r="C808" t="s">
        <v>17</v>
      </c>
      <c r="D808" t="s">
        <v>18</v>
      </c>
      <c r="E808" t="s">
        <v>1798</v>
      </c>
      <c r="F808" t="str" cm="1">
        <f t="array" ref="F808">_xlfn.IFS(Table1[[#This Row],[Country]]="United States","US",Table1[[#This Row],[Country]]="United Kingdom","UK",TRUE,"EU")</f>
        <v>EU</v>
      </c>
      <c r="G808" cm="1">
        <f t="array" ref="G80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09" spans="1:7" x14ac:dyDescent="0.2">
      <c r="A809" t="s">
        <v>1306</v>
      </c>
      <c r="B809" t="s">
        <v>1921</v>
      </c>
      <c r="C809" t="s">
        <v>17</v>
      </c>
      <c r="D809" t="s">
        <v>7</v>
      </c>
      <c r="E809" t="s">
        <v>1640</v>
      </c>
      <c r="F809" t="str" cm="1">
        <f t="array" ref="F809">_xlfn.IFS(Table1[[#This Row],[Country]]="United States","US",Table1[[#This Row],[Country]]="United Kingdom","UK",TRUE,"EU")</f>
        <v>EU</v>
      </c>
      <c r="G809" cm="1">
        <f t="array" ref="G80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10" spans="1:7" x14ac:dyDescent="0.2">
      <c r="A810" t="s">
        <v>1307</v>
      </c>
      <c r="B810" t="s">
        <v>1922</v>
      </c>
      <c r="C810" t="s">
        <v>17</v>
      </c>
      <c r="D810" t="s">
        <v>7</v>
      </c>
      <c r="E810" t="s">
        <v>1883</v>
      </c>
      <c r="F810" t="str" cm="1">
        <f t="array" ref="F810">_xlfn.IFS(Table1[[#This Row],[Country]]="United States","US",Table1[[#This Row],[Country]]="United Kingdom","UK",TRUE,"EU")</f>
        <v>EU</v>
      </c>
      <c r="G810" cm="1">
        <f t="array" ref="G81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11" spans="1:7" x14ac:dyDescent="0.2">
      <c r="A811" t="s">
        <v>1308</v>
      </c>
      <c r="B811" t="s">
        <v>1923</v>
      </c>
      <c r="C811" t="s">
        <v>17</v>
      </c>
      <c r="D811" t="s">
        <v>7</v>
      </c>
      <c r="E811" t="s">
        <v>1588</v>
      </c>
      <c r="F811" t="str" cm="1">
        <f t="array" ref="F811">_xlfn.IFS(Table1[[#This Row],[Country]]="United States","US",Table1[[#This Row],[Country]]="United Kingdom","UK",TRUE,"EU")</f>
        <v>EU</v>
      </c>
      <c r="G811" cm="1">
        <f t="array" ref="G81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12" spans="1:7" x14ac:dyDescent="0.2">
      <c r="A812" t="s">
        <v>1309</v>
      </c>
      <c r="B812" t="s">
        <v>1924</v>
      </c>
      <c r="C812" t="s">
        <v>17</v>
      </c>
      <c r="D812" t="s">
        <v>25</v>
      </c>
      <c r="E812" t="s">
        <v>1635</v>
      </c>
      <c r="F812" t="str" cm="1">
        <f t="array" ref="F812">_xlfn.IFS(Table1[[#This Row],[Country]]="United States","US",Table1[[#This Row],[Country]]="United Kingdom","UK",TRUE,"EU")</f>
        <v>EU</v>
      </c>
      <c r="G812" cm="1">
        <f t="array" ref="G81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813" spans="1:7" x14ac:dyDescent="0.2">
      <c r="A813" t="s">
        <v>1310</v>
      </c>
      <c r="B813" t="s">
        <v>1925</v>
      </c>
      <c r="C813" t="s">
        <v>17</v>
      </c>
      <c r="D813" t="s">
        <v>7</v>
      </c>
      <c r="E813" t="s">
        <v>1640</v>
      </c>
      <c r="F813" t="str" cm="1">
        <f t="array" ref="F813">_xlfn.IFS(Table1[[#This Row],[Country]]="United States","US",Table1[[#This Row],[Country]]="United Kingdom","UK",TRUE,"EU")</f>
        <v>EU</v>
      </c>
      <c r="G813" cm="1">
        <f t="array" ref="G81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14" spans="1:7" x14ac:dyDescent="0.2">
      <c r="A814" t="s">
        <v>1311</v>
      </c>
      <c r="B814" t="s">
        <v>1926</v>
      </c>
      <c r="C814" t="s">
        <v>17</v>
      </c>
      <c r="D814" t="s">
        <v>7</v>
      </c>
      <c r="E814" t="s">
        <v>1715</v>
      </c>
      <c r="F814" t="str" cm="1">
        <f t="array" ref="F814">_xlfn.IFS(Table1[[#This Row],[Country]]="United States","US",Table1[[#This Row],[Country]]="United Kingdom","UK",TRUE,"EU")</f>
        <v>EU</v>
      </c>
      <c r="G814" cm="1">
        <f t="array" ref="G81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15" spans="1:7" x14ac:dyDescent="0.2">
      <c r="A815" t="s">
        <v>1312</v>
      </c>
      <c r="B815" t="s">
        <v>1927</v>
      </c>
      <c r="C815" t="s">
        <v>17</v>
      </c>
      <c r="D815" t="s">
        <v>25</v>
      </c>
      <c r="E815" t="s">
        <v>1619</v>
      </c>
      <c r="F815" t="str" cm="1">
        <f t="array" ref="F815">_xlfn.IFS(Table1[[#This Row],[Country]]="United States","US",Table1[[#This Row],[Country]]="United Kingdom","UK",TRUE,"EU")</f>
        <v>EU</v>
      </c>
      <c r="G815" cm="1">
        <f t="array" ref="G81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816" spans="1:7" x14ac:dyDescent="0.2">
      <c r="A816" t="s">
        <v>1313</v>
      </c>
      <c r="B816" t="s">
        <v>1928</v>
      </c>
      <c r="C816" t="s">
        <v>17</v>
      </c>
      <c r="D816" t="s">
        <v>7</v>
      </c>
      <c r="E816" t="s">
        <v>1650</v>
      </c>
      <c r="F816" t="str" cm="1">
        <f t="array" ref="F816">_xlfn.IFS(Table1[[#This Row],[Country]]="United States","US",Table1[[#This Row],[Country]]="United Kingdom","UK",TRUE,"EU")</f>
        <v>EU</v>
      </c>
      <c r="G816" cm="1">
        <f t="array" ref="G81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17" spans="1:7" x14ac:dyDescent="0.2">
      <c r="A817" t="s">
        <v>1314</v>
      </c>
      <c r="B817" t="s">
        <v>1929</v>
      </c>
      <c r="C817" t="s">
        <v>17</v>
      </c>
      <c r="D817" t="s">
        <v>1044</v>
      </c>
      <c r="E817" t="s">
        <v>1584</v>
      </c>
      <c r="F817" t="str" cm="1">
        <f t="array" ref="F817">_xlfn.IFS(Table1[[#This Row],[Country]]="United States","US",Table1[[#This Row],[Country]]="United Kingdom","UK",TRUE,"EU")</f>
        <v>EU</v>
      </c>
      <c r="G817" t="str" cm="1">
        <f t="array" ref="G81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n.a.</v>
      </c>
    </row>
    <row r="818" spans="1:7" x14ac:dyDescent="0.2">
      <c r="A818" t="s">
        <v>1315</v>
      </c>
      <c r="B818" t="s">
        <v>1930</v>
      </c>
      <c r="C818" t="s">
        <v>17</v>
      </c>
      <c r="D818" t="s">
        <v>21</v>
      </c>
      <c r="E818" t="s">
        <v>1586</v>
      </c>
      <c r="F818" t="str" cm="1">
        <f t="array" ref="F818">_xlfn.IFS(Table1[[#This Row],[Country]]="United States","US",Table1[[#This Row],[Country]]="United Kingdom","UK",TRUE,"EU")</f>
        <v>EU</v>
      </c>
      <c r="G818" cm="1">
        <f t="array" ref="G81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819" spans="1:7" x14ac:dyDescent="0.2">
      <c r="A819" t="s">
        <v>1316</v>
      </c>
      <c r="B819" t="s">
        <v>1931</v>
      </c>
      <c r="C819" t="s">
        <v>17</v>
      </c>
      <c r="D819" t="s">
        <v>7</v>
      </c>
      <c r="E819" t="s">
        <v>1599</v>
      </c>
      <c r="F819" t="str" cm="1">
        <f t="array" ref="F819">_xlfn.IFS(Table1[[#This Row],[Country]]="United States","US",Table1[[#This Row],[Country]]="United Kingdom","UK",TRUE,"EU")</f>
        <v>EU</v>
      </c>
      <c r="G819" cm="1">
        <f t="array" ref="G81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20" spans="1:7" x14ac:dyDescent="0.2">
      <c r="A820" t="s">
        <v>1317</v>
      </c>
      <c r="B820" t="s">
        <v>223</v>
      </c>
      <c r="C820" t="s">
        <v>17</v>
      </c>
      <c r="D820" t="s">
        <v>7</v>
      </c>
      <c r="E820" t="s">
        <v>1582</v>
      </c>
      <c r="F820" t="str" cm="1">
        <f t="array" ref="F820">_xlfn.IFS(Table1[[#This Row],[Country]]="United States","US",Table1[[#This Row],[Country]]="United Kingdom","UK",TRUE,"EU")</f>
        <v>EU</v>
      </c>
      <c r="G820" cm="1">
        <f t="array" ref="G82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21" spans="1:7" x14ac:dyDescent="0.2">
      <c r="A821" t="s">
        <v>1318</v>
      </c>
      <c r="B821" t="s">
        <v>1932</v>
      </c>
      <c r="C821" t="s">
        <v>17</v>
      </c>
      <c r="D821" t="s">
        <v>7</v>
      </c>
      <c r="E821" t="s">
        <v>1621</v>
      </c>
      <c r="F821" t="str" cm="1">
        <f t="array" ref="F821">_xlfn.IFS(Table1[[#This Row],[Country]]="United States","US",Table1[[#This Row],[Country]]="United Kingdom","UK",TRUE,"EU")</f>
        <v>EU</v>
      </c>
      <c r="G821" cm="1">
        <f t="array" ref="G82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22" spans="1:7" x14ac:dyDescent="0.2">
      <c r="A822" t="s">
        <v>1319</v>
      </c>
      <c r="B822" t="s">
        <v>1933</v>
      </c>
      <c r="C822" t="s">
        <v>17</v>
      </c>
      <c r="D822" t="s">
        <v>25</v>
      </c>
      <c r="E822" t="s">
        <v>1599</v>
      </c>
      <c r="F822" t="str" cm="1">
        <f t="array" ref="F822">_xlfn.IFS(Table1[[#This Row],[Country]]="United States","US",Table1[[#This Row],[Country]]="United Kingdom","UK",TRUE,"EU")</f>
        <v>EU</v>
      </c>
      <c r="G822" cm="1">
        <f t="array" ref="G82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823" spans="1:7" x14ac:dyDescent="0.2">
      <c r="A823" t="s">
        <v>1320</v>
      </c>
      <c r="B823" t="s">
        <v>1934</v>
      </c>
      <c r="C823" t="s">
        <v>17</v>
      </c>
      <c r="D823" t="s">
        <v>33</v>
      </c>
      <c r="E823" t="s">
        <v>1798</v>
      </c>
      <c r="F823" t="str" cm="1">
        <f t="array" ref="F823">_xlfn.IFS(Table1[[#This Row],[Country]]="United States","US",Table1[[#This Row],[Country]]="United Kingdom","UK",TRUE,"EU")</f>
        <v>EU</v>
      </c>
      <c r="G823" cm="1">
        <f t="array" ref="G82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824" spans="1:7" x14ac:dyDescent="0.2">
      <c r="A824" t="s">
        <v>1321</v>
      </c>
      <c r="B824" t="s">
        <v>1935</v>
      </c>
      <c r="C824" t="s">
        <v>17</v>
      </c>
      <c r="D824" t="s">
        <v>191</v>
      </c>
      <c r="E824" t="s">
        <v>1599</v>
      </c>
      <c r="F824" t="str" cm="1">
        <f t="array" ref="F824">_xlfn.IFS(Table1[[#This Row],[Country]]="United States","US",Table1[[#This Row],[Country]]="United Kingdom","UK",TRUE,"EU")</f>
        <v>EU</v>
      </c>
      <c r="G824" cm="1">
        <f t="array" ref="G82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825" spans="1:7" x14ac:dyDescent="0.2">
      <c r="A825" t="s">
        <v>1322</v>
      </c>
      <c r="B825" t="s">
        <v>1936</v>
      </c>
      <c r="C825" t="s">
        <v>17</v>
      </c>
      <c r="D825" t="s">
        <v>7</v>
      </c>
      <c r="E825" t="s">
        <v>1717</v>
      </c>
      <c r="F825" t="str" cm="1">
        <f t="array" ref="F825">_xlfn.IFS(Table1[[#This Row],[Country]]="United States","US",Table1[[#This Row],[Country]]="United Kingdom","UK",TRUE,"EU")</f>
        <v>EU</v>
      </c>
      <c r="G825" cm="1">
        <f t="array" ref="G82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26" spans="1:7" x14ac:dyDescent="0.2">
      <c r="A826" t="s">
        <v>1323</v>
      </c>
      <c r="B826" t="s">
        <v>1937</v>
      </c>
      <c r="C826" t="s">
        <v>17</v>
      </c>
      <c r="D826" t="s">
        <v>7</v>
      </c>
      <c r="E826" t="s">
        <v>1588</v>
      </c>
      <c r="F826" t="str" cm="1">
        <f t="array" ref="F826">_xlfn.IFS(Table1[[#This Row],[Country]]="United States","US",Table1[[#This Row],[Country]]="United Kingdom","UK",TRUE,"EU")</f>
        <v>EU</v>
      </c>
      <c r="G826" cm="1">
        <f t="array" ref="G82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27" spans="1:7" x14ac:dyDescent="0.2">
      <c r="A827" t="s">
        <v>1324</v>
      </c>
      <c r="B827" t="s">
        <v>1938</v>
      </c>
      <c r="C827" t="s">
        <v>17</v>
      </c>
      <c r="D827" t="s">
        <v>188</v>
      </c>
      <c r="E827" t="s">
        <v>1698</v>
      </c>
      <c r="F827" t="str" cm="1">
        <f t="array" ref="F827">_xlfn.IFS(Table1[[#This Row],[Country]]="United States","US",Table1[[#This Row],[Country]]="United Kingdom","UK",TRUE,"EU")</f>
        <v>EU</v>
      </c>
      <c r="G827" cm="1">
        <f t="array" ref="G82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828" spans="1:7" x14ac:dyDescent="0.2">
      <c r="A828" t="s">
        <v>1325</v>
      </c>
      <c r="B828" t="s">
        <v>1939</v>
      </c>
      <c r="C828" t="s">
        <v>17</v>
      </c>
      <c r="D828" t="s">
        <v>7</v>
      </c>
      <c r="E828" t="s">
        <v>1635</v>
      </c>
      <c r="F828" t="str" cm="1">
        <f t="array" ref="F828">_xlfn.IFS(Table1[[#This Row],[Country]]="United States","US",Table1[[#This Row],[Country]]="United Kingdom","UK",TRUE,"EU")</f>
        <v>EU</v>
      </c>
      <c r="G828" cm="1">
        <f t="array" ref="G82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29" spans="1:7" x14ac:dyDescent="0.2">
      <c r="A829" t="s">
        <v>1326</v>
      </c>
      <c r="B829" t="s">
        <v>1940</v>
      </c>
      <c r="C829" t="s">
        <v>17</v>
      </c>
      <c r="D829" t="s">
        <v>25</v>
      </c>
      <c r="E829" t="s">
        <v>1588</v>
      </c>
      <c r="F829" t="str" cm="1">
        <f t="array" ref="F829">_xlfn.IFS(Table1[[#This Row],[Country]]="United States","US",Table1[[#This Row],[Country]]="United Kingdom","UK",TRUE,"EU")</f>
        <v>EU</v>
      </c>
      <c r="G829" cm="1">
        <f t="array" ref="G82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830" spans="1:7" x14ac:dyDescent="0.2">
      <c r="A830" t="s">
        <v>1327</v>
      </c>
      <c r="B830" t="s">
        <v>1941</v>
      </c>
      <c r="C830" t="s">
        <v>17</v>
      </c>
      <c r="D830" t="s">
        <v>42</v>
      </c>
      <c r="E830" t="s">
        <v>1640</v>
      </c>
      <c r="F830" t="str" cm="1">
        <f t="array" ref="F830">_xlfn.IFS(Table1[[#This Row],[Country]]="United States","US",Table1[[#This Row],[Country]]="United Kingdom","UK",TRUE,"EU")</f>
        <v>EU</v>
      </c>
      <c r="G830" cm="1">
        <f t="array" ref="G83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31" spans="1:7" x14ac:dyDescent="0.2">
      <c r="A831" t="s">
        <v>1328</v>
      </c>
      <c r="B831" t="s">
        <v>1942</v>
      </c>
      <c r="C831" t="s">
        <v>17</v>
      </c>
      <c r="D831" t="s">
        <v>7</v>
      </c>
      <c r="E831" t="s">
        <v>1599</v>
      </c>
      <c r="F831" t="str" cm="1">
        <f t="array" ref="F831">_xlfn.IFS(Table1[[#This Row],[Country]]="United States","US",Table1[[#This Row],[Country]]="United Kingdom","UK",TRUE,"EU")</f>
        <v>EU</v>
      </c>
      <c r="G831" cm="1">
        <f t="array" ref="G83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32" spans="1:7" x14ac:dyDescent="0.2">
      <c r="A832" t="s">
        <v>1329</v>
      </c>
      <c r="B832" t="s">
        <v>1943</v>
      </c>
      <c r="C832" t="s">
        <v>17</v>
      </c>
      <c r="D832" t="s">
        <v>7</v>
      </c>
      <c r="E832" t="s">
        <v>1650</v>
      </c>
      <c r="F832" t="str" cm="1">
        <f t="array" ref="F832">_xlfn.IFS(Table1[[#This Row],[Country]]="United States","US",Table1[[#This Row],[Country]]="United Kingdom","UK",TRUE,"EU")</f>
        <v>EU</v>
      </c>
      <c r="G832" cm="1">
        <f t="array" ref="G83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33" spans="1:7" x14ac:dyDescent="0.2">
      <c r="A833" t="s">
        <v>1330</v>
      </c>
      <c r="B833" t="s">
        <v>1944</v>
      </c>
      <c r="C833" t="s">
        <v>17</v>
      </c>
      <c r="D833" t="s">
        <v>7</v>
      </c>
      <c r="E833" t="s">
        <v>1635</v>
      </c>
      <c r="F833" t="str" cm="1">
        <f t="array" ref="F833">_xlfn.IFS(Table1[[#This Row],[Country]]="United States","US",Table1[[#This Row],[Country]]="United Kingdom","UK",TRUE,"EU")</f>
        <v>EU</v>
      </c>
      <c r="G833" cm="1">
        <f t="array" ref="G83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34" spans="1:7" x14ac:dyDescent="0.2">
      <c r="A834" t="s">
        <v>1331</v>
      </c>
      <c r="B834" t="s">
        <v>1945</v>
      </c>
      <c r="C834" t="s">
        <v>17</v>
      </c>
      <c r="D834" t="s">
        <v>25</v>
      </c>
      <c r="E834" t="s">
        <v>1798</v>
      </c>
      <c r="F834" t="str" cm="1">
        <f t="array" ref="F834">_xlfn.IFS(Table1[[#This Row],[Country]]="United States","US",Table1[[#This Row],[Country]]="United Kingdom","UK",TRUE,"EU")</f>
        <v>EU</v>
      </c>
      <c r="G834" cm="1">
        <f t="array" ref="G83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835" spans="1:7" x14ac:dyDescent="0.2">
      <c r="A835" t="s">
        <v>1332</v>
      </c>
      <c r="B835" t="s">
        <v>1332</v>
      </c>
      <c r="C835" t="s">
        <v>17</v>
      </c>
      <c r="D835" t="s">
        <v>25</v>
      </c>
      <c r="E835" t="s">
        <v>1650</v>
      </c>
      <c r="F835" t="str" cm="1">
        <f t="array" ref="F835">_xlfn.IFS(Table1[[#This Row],[Country]]="United States","US",Table1[[#This Row],[Country]]="United Kingdom","UK",TRUE,"EU")</f>
        <v>EU</v>
      </c>
      <c r="G835" cm="1">
        <f t="array" ref="G83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836" spans="1:7" x14ac:dyDescent="0.2">
      <c r="A836" t="s">
        <v>1333</v>
      </c>
      <c r="B836" t="s">
        <v>1946</v>
      </c>
      <c r="C836" t="s">
        <v>17</v>
      </c>
      <c r="D836" t="s">
        <v>7</v>
      </c>
      <c r="E836" t="s">
        <v>1635</v>
      </c>
      <c r="F836" t="str" cm="1">
        <f t="array" ref="F836">_xlfn.IFS(Table1[[#This Row],[Country]]="United States","US",Table1[[#This Row],[Country]]="United Kingdom","UK",TRUE,"EU")</f>
        <v>EU</v>
      </c>
      <c r="G836" cm="1">
        <f t="array" ref="G83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37" spans="1:7" x14ac:dyDescent="0.2">
      <c r="A837" t="s">
        <v>1334</v>
      </c>
      <c r="B837" t="s">
        <v>1724</v>
      </c>
      <c r="C837" t="s">
        <v>17</v>
      </c>
      <c r="D837" t="s">
        <v>118</v>
      </c>
      <c r="E837" t="s">
        <v>1650</v>
      </c>
      <c r="F837" t="str" cm="1">
        <f t="array" ref="F837">_xlfn.IFS(Table1[[#This Row],[Country]]="United States","US",Table1[[#This Row],[Country]]="United Kingdom","UK",TRUE,"EU")</f>
        <v>EU</v>
      </c>
      <c r="G837" cm="1">
        <f t="array" ref="G83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38" spans="1:7" x14ac:dyDescent="0.2">
      <c r="A838" t="s">
        <v>1335</v>
      </c>
      <c r="B838" t="s">
        <v>1947</v>
      </c>
      <c r="C838" t="s">
        <v>17</v>
      </c>
      <c r="D838" t="s">
        <v>191</v>
      </c>
      <c r="E838" t="s">
        <v>1599</v>
      </c>
      <c r="F838" t="str" cm="1">
        <f t="array" ref="F838">_xlfn.IFS(Table1[[#This Row],[Country]]="United States","US",Table1[[#This Row],[Country]]="United Kingdom","UK",TRUE,"EU")</f>
        <v>EU</v>
      </c>
      <c r="G838" cm="1">
        <f t="array" ref="G83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839" spans="1:7" x14ac:dyDescent="0.2">
      <c r="A839" t="s">
        <v>1336</v>
      </c>
      <c r="B839" t="s">
        <v>1948</v>
      </c>
      <c r="C839" t="s">
        <v>17</v>
      </c>
      <c r="D839" t="s">
        <v>25</v>
      </c>
      <c r="E839" t="s">
        <v>1599</v>
      </c>
      <c r="F839" t="str" cm="1">
        <f t="array" ref="F839">_xlfn.IFS(Table1[[#This Row],[Country]]="United States","US",Table1[[#This Row],[Country]]="United Kingdom","UK",TRUE,"EU")</f>
        <v>EU</v>
      </c>
      <c r="G839" cm="1">
        <f t="array" ref="G83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840" spans="1:7" x14ac:dyDescent="0.2">
      <c r="A840" t="s">
        <v>1337</v>
      </c>
      <c r="B840" t="s">
        <v>1949</v>
      </c>
      <c r="C840" t="s">
        <v>17</v>
      </c>
      <c r="D840" t="s">
        <v>16</v>
      </c>
      <c r="E840" t="s">
        <v>1798</v>
      </c>
      <c r="F840" t="str" cm="1">
        <f t="array" ref="F840">_xlfn.IFS(Table1[[#This Row],[Country]]="United States","US",Table1[[#This Row],[Country]]="United Kingdom","UK",TRUE,"EU")</f>
        <v>EU</v>
      </c>
      <c r="G840" cm="1">
        <f t="array" ref="G84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41" spans="1:7" x14ac:dyDescent="0.2">
      <c r="A841" t="s">
        <v>1338</v>
      </c>
      <c r="B841" t="s">
        <v>1950</v>
      </c>
      <c r="C841" t="s">
        <v>17</v>
      </c>
      <c r="D841" t="s">
        <v>16</v>
      </c>
      <c r="E841" t="s">
        <v>1640</v>
      </c>
      <c r="F841" t="str" cm="1">
        <f t="array" ref="F841">_xlfn.IFS(Table1[[#This Row],[Country]]="United States","US",Table1[[#This Row],[Country]]="United Kingdom","UK",TRUE,"EU")</f>
        <v>EU</v>
      </c>
      <c r="G841" cm="1">
        <f t="array" ref="G84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42" spans="1:7" x14ac:dyDescent="0.2">
      <c r="A842" t="s">
        <v>1339</v>
      </c>
      <c r="B842" t="s">
        <v>1951</v>
      </c>
      <c r="C842" t="s">
        <v>17</v>
      </c>
      <c r="D842" t="s">
        <v>16</v>
      </c>
      <c r="E842" t="s">
        <v>1640</v>
      </c>
      <c r="F842" t="str" cm="1">
        <f t="array" ref="F842">_xlfn.IFS(Table1[[#This Row],[Country]]="United States","US",Table1[[#This Row],[Country]]="United Kingdom","UK",TRUE,"EU")</f>
        <v>EU</v>
      </c>
      <c r="G842" cm="1">
        <f t="array" ref="G84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43" spans="1:7" x14ac:dyDescent="0.2">
      <c r="A843" t="s">
        <v>1340</v>
      </c>
      <c r="B843" t="s">
        <v>1952</v>
      </c>
      <c r="C843" t="s">
        <v>17</v>
      </c>
      <c r="D843" t="s">
        <v>16</v>
      </c>
      <c r="E843" t="s">
        <v>1650</v>
      </c>
      <c r="F843" t="str" cm="1">
        <f t="array" ref="F843">_xlfn.IFS(Table1[[#This Row],[Country]]="United States","US",Table1[[#This Row],[Country]]="United Kingdom","UK",TRUE,"EU")</f>
        <v>EU</v>
      </c>
      <c r="G843" cm="1">
        <f t="array" ref="G84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44" spans="1:7" x14ac:dyDescent="0.2">
      <c r="A844" t="s">
        <v>1341</v>
      </c>
      <c r="B844" t="s">
        <v>1953</v>
      </c>
      <c r="C844" t="s">
        <v>17</v>
      </c>
      <c r="D844" t="s">
        <v>16</v>
      </c>
      <c r="E844" t="s">
        <v>1640</v>
      </c>
      <c r="F844" t="str" cm="1">
        <f t="array" ref="F844">_xlfn.IFS(Table1[[#This Row],[Country]]="United States","US",Table1[[#This Row],[Country]]="United Kingdom","UK",TRUE,"EU")</f>
        <v>EU</v>
      </c>
      <c r="G844" cm="1">
        <f t="array" ref="G84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45" spans="1:7" x14ac:dyDescent="0.2">
      <c r="A845" t="s">
        <v>1342</v>
      </c>
      <c r="B845" t="s">
        <v>1954</v>
      </c>
      <c r="C845" t="s">
        <v>17</v>
      </c>
      <c r="D845" t="s">
        <v>118</v>
      </c>
      <c r="E845" t="s">
        <v>1650</v>
      </c>
      <c r="F845" t="str" cm="1">
        <f t="array" ref="F845">_xlfn.IFS(Table1[[#This Row],[Country]]="United States","US",Table1[[#This Row],[Country]]="United Kingdom","UK",TRUE,"EU")</f>
        <v>EU</v>
      </c>
      <c r="G845" cm="1">
        <f t="array" ref="G84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46" spans="1:7" x14ac:dyDescent="0.2">
      <c r="A846" t="s">
        <v>1343</v>
      </c>
      <c r="B846" t="s">
        <v>1955</v>
      </c>
      <c r="C846" t="s">
        <v>17</v>
      </c>
      <c r="D846" t="s">
        <v>118</v>
      </c>
      <c r="E846" t="s">
        <v>1652</v>
      </c>
      <c r="F846" t="str" cm="1">
        <f t="array" ref="F846">_xlfn.IFS(Table1[[#This Row],[Country]]="United States","US",Table1[[#This Row],[Country]]="United Kingdom","UK",TRUE,"EU")</f>
        <v>EU</v>
      </c>
      <c r="G846" cm="1">
        <f t="array" ref="G84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47" spans="1:7" x14ac:dyDescent="0.2">
      <c r="A847" t="s">
        <v>1344</v>
      </c>
      <c r="B847" t="s">
        <v>1956</v>
      </c>
      <c r="C847" t="s">
        <v>17</v>
      </c>
      <c r="D847" t="s">
        <v>21</v>
      </c>
      <c r="E847" t="s">
        <v>1588</v>
      </c>
      <c r="F847" t="str" cm="1">
        <f t="array" ref="F847">_xlfn.IFS(Table1[[#This Row],[Country]]="United States","US",Table1[[#This Row],[Country]]="United Kingdom","UK",TRUE,"EU")</f>
        <v>EU</v>
      </c>
      <c r="G847" cm="1">
        <f t="array" ref="G84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848" spans="1:7" x14ac:dyDescent="0.2">
      <c r="A848" t="s">
        <v>1345</v>
      </c>
      <c r="B848" t="s">
        <v>1957</v>
      </c>
      <c r="C848" t="s">
        <v>17</v>
      </c>
      <c r="D848" t="s">
        <v>16</v>
      </c>
      <c r="E848" t="s">
        <v>1650</v>
      </c>
      <c r="F848" t="str" cm="1">
        <f t="array" ref="F848">_xlfn.IFS(Table1[[#This Row],[Country]]="United States","US",Table1[[#This Row],[Country]]="United Kingdom","UK",TRUE,"EU")</f>
        <v>EU</v>
      </c>
      <c r="G848" cm="1">
        <f t="array" ref="G84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49" spans="1:7" x14ac:dyDescent="0.2">
      <c r="A849" t="s">
        <v>1346</v>
      </c>
      <c r="B849" t="s">
        <v>1958</v>
      </c>
      <c r="C849" t="s">
        <v>17</v>
      </c>
      <c r="D849" t="s">
        <v>25</v>
      </c>
      <c r="E849" t="s">
        <v>1588</v>
      </c>
      <c r="F849" t="str" cm="1">
        <f t="array" ref="F849">_xlfn.IFS(Table1[[#This Row],[Country]]="United States","US",Table1[[#This Row],[Country]]="United Kingdom","UK",TRUE,"EU")</f>
        <v>EU</v>
      </c>
      <c r="G849" cm="1">
        <f t="array" ref="G84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850" spans="1:7" x14ac:dyDescent="0.2">
      <c r="A850" t="s">
        <v>1347</v>
      </c>
      <c r="B850" t="s">
        <v>1959</v>
      </c>
      <c r="C850" t="s">
        <v>17</v>
      </c>
      <c r="D850" t="s">
        <v>118</v>
      </c>
      <c r="E850" t="s">
        <v>1619</v>
      </c>
      <c r="F850" t="str" cm="1">
        <f t="array" ref="F850">_xlfn.IFS(Table1[[#This Row],[Country]]="United States","US",Table1[[#This Row],[Country]]="United Kingdom","UK",TRUE,"EU")</f>
        <v>EU</v>
      </c>
      <c r="G850" cm="1">
        <f t="array" ref="G85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51" spans="1:7" x14ac:dyDescent="0.2">
      <c r="A851" t="s">
        <v>1348</v>
      </c>
      <c r="B851" t="s">
        <v>1960</v>
      </c>
      <c r="C851" t="s">
        <v>17</v>
      </c>
      <c r="D851" t="s">
        <v>25</v>
      </c>
      <c r="E851" t="s">
        <v>1871</v>
      </c>
      <c r="F851" t="str" cm="1">
        <f t="array" ref="F851">_xlfn.IFS(Table1[[#This Row],[Country]]="United States","US",Table1[[#This Row],[Country]]="United Kingdom","UK",TRUE,"EU")</f>
        <v>EU</v>
      </c>
      <c r="G851" cm="1">
        <f t="array" ref="G85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852" spans="1:7" x14ac:dyDescent="0.2">
      <c r="A852" t="s">
        <v>1349</v>
      </c>
      <c r="B852" t="s">
        <v>1961</v>
      </c>
      <c r="C852" t="s">
        <v>17</v>
      </c>
      <c r="D852" t="s">
        <v>7</v>
      </c>
      <c r="E852" t="s">
        <v>1588</v>
      </c>
      <c r="F852" t="str" cm="1">
        <f t="array" ref="F852">_xlfn.IFS(Table1[[#This Row],[Country]]="United States","US",Table1[[#This Row],[Country]]="United Kingdom","UK",TRUE,"EU")</f>
        <v>EU</v>
      </c>
      <c r="G852" cm="1">
        <f t="array" ref="G85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53" spans="1:7" x14ac:dyDescent="0.2">
      <c r="A853" t="s">
        <v>1350</v>
      </c>
      <c r="B853" t="s">
        <v>1962</v>
      </c>
      <c r="C853" t="s">
        <v>17</v>
      </c>
      <c r="D853" t="s">
        <v>7</v>
      </c>
      <c r="E853" t="s">
        <v>1635</v>
      </c>
      <c r="F853" t="str" cm="1">
        <f t="array" ref="F853">_xlfn.IFS(Table1[[#This Row],[Country]]="United States","US",Table1[[#This Row],[Country]]="United Kingdom","UK",TRUE,"EU")</f>
        <v>EU</v>
      </c>
      <c r="G853" cm="1">
        <f t="array" ref="G85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54" spans="1:7" x14ac:dyDescent="0.2">
      <c r="A854" t="s">
        <v>1351</v>
      </c>
      <c r="B854" t="s">
        <v>1963</v>
      </c>
      <c r="C854" t="s">
        <v>17</v>
      </c>
      <c r="D854" t="s">
        <v>7</v>
      </c>
      <c r="E854" t="s">
        <v>1650</v>
      </c>
      <c r="F854" t="str" cm="1">
        <f t="array" ref="F854">_xlfn.IFS(Table1[[#This Row],[Country]]="United States","US",Table1[[#This Row],[Country]]="United Kingdom","UK",TRUE,"EU")</f>
        <v>EU</v>
      </c>
      <c r="G854" cm="1">
        <f t="array" ref="G85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55" spans="1:7" x14ac:dyDescent="0.2">
      <c r="A855" t="s">
        <v>1352</v>
      </c>
      <c r="B855" t="s">
        <v>1964</v>
      </c>
      <c r="C855" t="s">
        <v>17</v>
      </c>
      <c r="D855" t="s">
        <v>42</v>
      </c>
      <c r="E855" t="s">
        <v>1717</v>
      </c>
      <c r="F855" t="str" cm="1">
        <f t="array" ref="F855">_xlfn.IFS(Table1[[#This Row],[Country]]="United States","US",Table1[[#This Row],[Country]]="United Kingdom","UK",TRUE,"EU")</f>
        <v>EU</v>
      </c>
      <c r="G855" cm="1">
        <f t="array" ref="G85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56" spans="1:7" x14ac:dyDescent="0.2">
      <c r="A856" t="s">
        <v>1353</v>
      </c>
      <c r="B856" t="s">
        <v>1965</v>
      </c>
      <c r="C856" t="s">
        <v>17</v>
      </c>
      <c r="D856" t="s">
        <v>16</v>
      </c>
      <c r="E856" t="s">
        <v>1588</v>
      </c>
      <c r="F856" t="str" cm="1">
        <f t="array" ref="F856">_xlfn.IFS(Table1[[#This Row],[Country]]="United States","US",Table1[[#This Row],[Country]]="United Kingdom","UK",TRUE,"EU")</f>
        <v>EU</v>
      </c>
      <c r="G856" cm="1">
        <f t="array" ref="G85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57" spans="1:7" x14ac:dyDescent="0.2">
      <c r="A857" t="s">
        <v>1354</v>
      </c>
      <c r="B857" t="s">
        <v>1966</v>
      </c>
      <c r="C857" t="s">
        <v>17</v>
      </c>
      <c r="D857" t="s">
        <v>7</v>
      </c>
      <c r="E857" t="s">
        <v>1588</v>
      </c>
      <c r="F857" t="str" cm="1">
        <f t="array" ref="F857">_xlfn.IFS(Table1[[#This Row],[Country]]="United States","US",Table1[[#This Row],[Country]]="United Kingdom","UK",TRUE,"EU")</f>
        <v>EU</v>
      </c>
      <c r="G857" cm="1">
        <f t="array" ref="G85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58" spans="1:7" x14ac:dyDescent="0.2">
      <c r="A858" t="s">
        <v>1355</v>
      </c>
      <c r="B858" t="s">
        <v>1967</v>
      </c>
      <c r="C858" t="s">
        <v>17</v>
      </c>
      <c r="D858" t="s">
        <v>7</v>
      </c>
      <c r="E858" t="s">
        <v>1584</v>
      </c>
      <c r="F858" t="str" cm="1">
        <f t="array" ref="F858">_xlfn.IFS(Table1[[#This Row],[Country]]="United States","US",Table1[[#This Row],[Country]]="United Kingdom","UK",TRUE,"EU")</f>
        <v>EU</v>
      </c>
      <c r="G858" cm="1">
        <f t="array" ref="G85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59" spans="1:7" x14ac:dyDescent="0.2">
      <c r="A859" t="s">
        <v>1356</v>
      </c>
      <c r="B859" t="s">
        <v>1968</v>
      </c>
      <c r="C859" t="s">
        <v>17</v>
      </c>
      <c r="D859" t="s">
        <v>16</v>
      </c>
      <c r="E859" t="s">
        <v>1635</v>
      </c>
      <c r="F859" t="str" cm="1">
        <f t="array" ref="F859">_xlfn.IFS(Table1[[#This Row],[Country]]="United States","US",Table1[[#This Row],[Country]]="United Kingdom","UK",TRUE,"EU")</f>
        <v>EU</v>
      </c>
      <c r="G859" cm="1">
        <f t="array" ref="G85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60" spans="1:7" x14ac:dyDescent="0.2">
      <c r="A860" t="s">
        <v>1357</v>
      </c>
      <c r="B860" t="s">
        <v>1969</v>
      </c>
      <c r="C860" t="s">
        <v>17</v>
      </c>
      <c r="D860" t="s">
        <v>25</v>
      </c>
      <c r="E860" t="s">
        <v>1635</v>
      </c>
      <c r="F860" t="str" cm="1">
        <f t="array" ref="F860">_xlfn.IFS(Table1[[#This Row],[Country]]="United States","US",Table1[[#This Row],[Country]]="United Kingdom","UK",TRUE,"EU")</f>
        <v>EU</v>
      </c>
      <c r="G860" cm="1">
        <f t="array" ref="G86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861" spans="1:7" x14ac:dyDescent="0.2">
      <c r="A861" t="s">
        <v>1358</v>
      </c>
      <c r="B861" t="s">
        <v>1970</v>
      </c>
      <c r="C861" t="s">
        <v>17</v>
      </c>
      <c r="D861" t="s">
        <v>7</v>
      </c>
      <c r="E861" t="s">
        <v>1668</v>
      </c>
      <c r="F861" t="str" cm="1">
        <f t="array" ref="F861">_xlfn.IFS(Table1[[#This Row],[Country]]="United States","US",Table1[[#This Row],[Country]]="United Kingdom","UK",TRUE,"EU")</f>
        <v>EU</v>
      </c>
      <c r="G861" cm="1">
        <f t="array" ref="G86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62" spans="1:7" x14ac:dyDescent="0.2">
      <c r="A862" t="s">
        <v>1359</v>
      </c>
      <c r="B862" t="s">
        <v>1971</v>
      </c>
      <c r="C862" t="s">
        <v>17</v>
      </c>
      <c r="D862" t="s">
        <v>118</v>
      </c>
      <c r="E862" t="s">
        <v>1588</v>
      </c>
      <c r="F862" t="str" cm="1">
        <f t="array" ref="F862">_xlfn.IFS(Table1[[#This Row],[Country]]="United States","US",Table1[[#This Row],[Country]]="United Kingdom","UK",TRUE,"EU")</f>
        <v>EU</v>
      </c>
      <c r="G862" cm="1">
        <f t="array" ref="G86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63" spans="1:7" x14ac:dyDescent="0.2">
      <c r="A863" t="s">
        <v>1360</v>
      </c>
      <c r="B863" t="s">
        <v>1972</v>
      </c>
      <c r="C863" t="s">
        <v>17</v>
      </c>
      <c r="D863" t="s">
        <v>7</v>
      </c>
      <c r="E863" t="s">
        <v>1650</v>
      </c>
      <c r="F863" t="str" cm="1">
        <f t="array" ref="F863">_xlfn.IFS(Table1[[#This Row],[Country]]="United States","US",Table1[[#This Row],[Country]]="United Kingdom","UK",TRUE,"EU")</f>
        <v>EU</v>
      </c>
      <c r="G863" cm="1">
        <f t="array" ref="G86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64" spans="1:7" x14ac:dyDescent="0.2">
      <c r="A864" t="s">
        <v>1361</v>
      </c>
      <c r="B864" t="s">
        <v>1973</v>
      </c>
      <c r="C864" t="s">
        <v>17</v>
      </c>
      <c r="D864" t="s">
        <v>21</v>
      </c>
      <c r="E864" t="s">
        <v>1588</v>
      </c>
      <c r="F864" t="str" cm="1">
        <f t="array" ref="F864">_xlfn.IFS(Table1[[#This Row],[Country]]="United States","US",Table1[[#This Row],[Country]]="United Kingdom","UK",TRUE,"EU")</f>
        <v>EU</v>
      </c>
      <c r="G864" cm="1">
        <f t="array" ref="G86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865" spans="1:7" x14ac:dyDescent="0.2">
      <c r="A865" t="s">
        <v>1362</v>
      </c>
      <c r="B865" t="s">
        <v>1974</v>
      </c>
      <c r="C865" t="s">
        <v>17</v>
      </c>
      <c r="D865" t="s">
        <v>7</v>
      </c>
      <c r="E865" t="s">
        <v>1635</v>
      </c>
      <c r="F865" t="str" cm="1">
        <f t="array" ref="F865">_xlfn.IFS(Table1[[#This Row],[Country]]="United States","US",Table1[[#This Row],[Country]]="United Kingdom","UK",TRUE,"EU")</f>
        <v>EU</v>
      </c>
      <c r="G865" cm="1">
        <f t="array" ref="G86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66" spans="1:7" x14ac:dyDescent="0.2">
      <c r="A866" t="s">
        <v>1363</v>
      </c>
      <c r="B866" t="s">
        <v>1975</v>
      </c>
      <c r="C866" t="s">
        <v>17</v>
      </c>
      <c r="D866" t="s">
        <v>7</v>
      </c>
      <c r="E866" t="s">
        <v>1717</v>
      </c>
      <c r="F866" t="str" cm="1">
        <f t="array" ref="F866">_xlfn.IFS(Table1[[#This Row],[Country]]="United States","US",Table1[[#This Row],[Country]]="United Kingdom","UK",TRUE,"EU")</f>
        <v>EU</v>
      </c>
      <c r="G866" cm="1">
        <f t="array" ref="G866">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67" spans="1:7" x14ac:dyDescent="0.2">
      <c r="A867" t="s">
        <v>1364</v>
      </c>
      <c r="B867" t="s">
        <v>1976</v>
      </c>
      <c r="C867" t="s">
        <v>17</v>
      </c>
      <c r="D867" t="s">
        <v>25</v>
      </c>
      <c r="E867" t="s">
        <v>1588</v>
      </c>
      <c r="F867" t="str" cm="1">
        <f t="array" ref="F867">_xlfn.IFS(Table1[[#This Row],[Country]]="United States","US",Table1[[#This Row],[Country]]="United Kingdom","UK",TRUE,"EU")</f>
        <v>EU</v>
      </c>
      <c r="G867" cm="1">
        <f t="array" ref="G867">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868" spans="1:7" x14ac:dyDescent="0.2">
      <c r="A868" t="s">
        <v>1365</v>
      </c>
      <c r="B868" t="s">
        <v>1977</v>
      </c>
      <c r="C868" t="s">
        <v>17</v>
      </c>
      <c r="D868" t="s">
        <v>7</v>
      </c>
      <c r="E868" t="s">
        <v>1640</v>
      </c>
      <c r="F868" t="str" cm="1">
        <f t="array" ref="F868">_xlfn.IFS(Table1[[#This Row],[Country]]="United States","US",Table1[[#This Row],[Country]]="United Kingdom","UK",TRUE,"EU")</f>
        <v>EU</v>
      </c>
      <c r="G868" cm="1">
        <f t="array" ref="G868">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69" spans="1:7" x14ac:dyDescent="0.2">
      <c r="A869" t="s">
        <v>1366</v>
      </c>
      <c r="B869" t="s">
        <v>1978</v>
      </c>
      <c r="C869" t="s">
        <v>17</v>
      </c>
      <c r="D869" t="s">
        <v>25</v>
      </c>
      <c r="E869" t="s">
        <v>1599</v>
      </c>
      <c r="F869" t="str" cm="1">
        <f t="array" ref="F869">_xlfn.IFS(Table1[[#This Row],[Country]]="United States","US",Table1[[#This Row],[Country]]="United Kingdom","UK",TRUE,"EU")</f>
        <v>EU</v>
      </c>
      <c r="G869" cm="1">
        <f t="array" ref="G869">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870" spans="1:7" x14ac:dyDescent="0.2">
      <c r="A870" t="s">
        <v>1367</v>
      </c>
      <c r="B870" t="s">
        <v>1979</v>
      </c>
      <c r="C870" t="s">
        <v>17</v>
      </c>
      <c r="D870" t="s">
        <v>21</v>
      </c>
      <c r="E870" t="s">
        <v>1640</v>
      </c>
      <c r="F870" t="str" cm="1">
        <f t="array" ref="F870">_xlfn.IFS(Table1[[#This Row],[Country]]="United States","US",Table1[[#This Row],[Country]]="United Kingdom","UK",TRUE,"EU")</f>
        <v>EU</v>
      </c>
      <c r="G870" cm="1">
        <f t="array" ref="G870">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1</v>
      </c>
    </row>
    <row r="871" spans="1:7" x14ac:dyDescent="0.2">
      <c r="A871" t="s">
        <v>1368</v>
      </c>
      <c r="B871" t="s">
        <v>1980</v>
      </c>
      <c r="C871" t="s">
        <v>17</v>
      </c>
      <c r="D871" t="s">
        <v>118</v>
      </c>
      <c r="E871" t="s">
        <v>1599</v>
      </c>
      <c r="F871" t="str" cm="1">
        <f t="array" ref="F871">_xlfn.IFS(Table1[[#This Row],[Country]]="United States","US",Table1[[#This Row],[Country]]="United Kingdom","UK",TRUE,"EU")</f>
        <v>EU</v>
      </c>
      <c r="G871" cm="1">
        <f t="array" ref="G871">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72" spans="1:7" x14ac:dyDescent="0.2">
      <c r="A872" t="s">
        <v>1369</v>
      </c>
      <c r="B872" t="s">
        <v>1981</v>
      </c>
      <c r="C872" t="s">
        <v>17</v>
      </c>
      <c r="D872" t="s">
        <v>33</v>
      </c>
      <c r="E872" t="s">
        <v>1798</v>
      </c>
      <c r="F872" t="str" cm="1">
        <f t="array" ref="F872">_xlfn.IFS(Table1[[#This Row],[Country]]="United States","US",Table1[[#This Row],[Country]]="United Kingdom","UK",TRUE,"EU")</f>
        <v>EU</v>
      </c>
      <c r="G872" cm="1">
        <f t="array" ref="G872">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0</v>
      </c>
    </row>
    <row r="873" spans="1:7" x14ac:dyDescent="0.2">
      <c r="A873" t="s">
        <v>1370</v>
      </c>
      <c r="B873" t="s">
        <v>1982</v>
      </c>
      <c r="C873" t="s">
        <v>17</v>
      </c>
      <c r="D873" t="s">
        <v>7</v>
      </c>
      <c r="E873" t="s">
        <v>1584</v>
      </c>
      <c r="F873" t="str" cm="1">
        <f t="array" ref="F873">_xlfn.IFS(Table1[[#This Row],[Country]]="United States","US",Table1[[#This Row],[Country]]="United Kingdom","UK",TRUE,"EU")</f>
        <v>EU</v>
      </c>
      <c r="G873" cm="1">
        <f t="array" ref="G873">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2</v>
      </c>
    </row>
    <row r="874" spans="1:7" x14ac:dyDescent="0.2">
      <c r="A874" t="s">
        <v>1371</v>
      </c>
      <c r="B874" t="s">
        <v>1983</v>
      </c>
      <c r="C874" t="s">
        <v>17</v>
      </c>
      <c r="D874" t="s">
        <v>1044</v>
      </c>
      <c r="E874" t="s">
        <v>1574</v>
      </c>
      <c r="F874" t="str" cm="1">
        <f t="array" ref="F874">_xlfn.IFS(Table1[[#This Row],[Country]]="United States","US",Table1[[#This Row],[Country]]="United Kingdom","UK",TRUE,"EU")</f>
        <v>US</v>
      </c>
      <c r="G874" t="str" cm="1">
        <f t="array" ref="G874">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n.a.</v>
      </c>
    </row>
    <row r="875" spans="1:7" x14ac:dyDescent="0.2">
      <c r="A875" t="s">
        <v>1372</v>
      </c>
      <c r="B875" t="s">
        <v>1984</v>
      </c>
      <c r="C875" t="s">
        <v>17</v>
      </c>
      <c r="D875" t="s">
        <v>1044</v>
      </c>
      <c r="E875" t="s">
        <v>1574</v>
      </c>
      <c r="F875" t="str" cm="1">
        <f t="array" ref="F875">_xlfn.IFS(Table1[[#This Row],[Country]]="United States","US",Table1[[#This Row],[Country]]="United Kingdom","UK",TRUE,"EU")</f>
        <v>US</v>
      </c>
      <c r="G875" t="str" cm="1">
        <f t="array" ref="G875">IF(Table1[[#This Row],[Region]]="","",_xlfn.IFS(Table1[[#This Row],[Region]]="EU",_xlfn.XLOOKUP(Table1[[#This Row],[GICS Industry]],Table3[EU],Table3[Rating],"n.a.",0),Table1[[#This Row],[Region]]="US",_xlfn.XLOOKUP(Table1[[#This Row],[GICS Industry]],Table4[US],Table4[Rating],"n.a.",0),Table1[[#This Row],[Region]]="UK",_xlfn.XLOOKUP(Table1[[#This Row],[GICS Industry]],Table5[UK],Table5[Rating],"n.a.",0),TRUE,"Invalid Region"))</f>
        <v>n.a.</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C3F84-6038-644C-B939-7D043DB6E6E4}">
  <dimension ref="A1:C44"/>
  <sheetViews>
    <sheetView workbookViewId="0">
      <selection activeCell="C42" sqref="C42"/>
    </sheetView>
  </sheetViews>
  <sheetFormatPr baseColWidth="10" defaultRowHeight="16" x14ac:dyDescent="0.2"/>
  <cols>
    <col min="1" max="1" width="21.6640625" bestFit="1" customWidth="1"/>
    <col min="2" max="2" width="37.33203125" bestFit="1" customWidth="1"/>
    <col min="3" max="3" width="95.33203125" customWidth="1"/>
    <col min="4" max="4" width="26.83203125" customWidth="1"/>
    <col min="5" max="5" width="23.5" customWidth="1"/>
    <col min="6" max="6" width="23" customWidth="1"/>
    <col min="7" max="7" width="28.83203125" customWidth="1"/>
    <col min="8" max="8" width="25.1640625" customWidth="1"/>
    <col min="9" max="9" width="27" customWidth="1"/>
    <col min="10" max="10" width="29.6640625" customWidth="1"/>
    <col min="11" max="11" width="29.33203125" customWidth="1"/>
    <col min="12" max="12" width="22.6640625" customWidth="1"/>
  </cols>
  <sheetData>
    <row r="1" spans="1:2" x14ac:dyDescent="0.2">
      <c r="A1" s="63" t="s">
        <v>1562</v>
      </c>
      <c r="B1" s="63" t="s">
        <v>1572</v>
      </c>
    </row>
    <row r="2" spans="1:2" x14ac:dyDescent="0.2">
      <c r="A2" t="s">
        <v>7</v>
      </c>
      <c r="B2">
        <f>+_xlfn.XLOOKUP(Table3[[#This Row],[EU]],Table2[EU GICS Sector],Table2[Rating],"n.a.",0)</f>
        <v>2</v>
      </c>
    </row>
    <row r="3" spans="1:2" x14ac:dyDescent="0.2">
      <c r="A3" t="s">
        <v>16</v>
      </c>
      <c r="B3">
        <f>+_xlfn.XLOOKUP(Table3[[#This Row],[EU]],Table2[EU GICS Sector],Table2[Rating],"n.a.",0)</f>
        <v>2</v>
      </c>
    </row>
    <row r="4" spans="1:2" x14ac:dyDescent="0.2">
      <c r="A4" t="s">
        <v>18</v>
      </c>
      <c r="B4">
        <f>+_xlfn.XLOOKUP(Table3[[#This Row],[EU]],Table2[EU GICS Sector],Table2[Rating],"n.a.",0)</f>
        <v>2</v>
      </c>
    </row>
    <row r="5" spans="1:2" x14ac:dyDescent="0.2">
      <c r="A5" t="s">
        <v>42</v>
      </c>
      <c r="B5">
        <f>+_xlfn.XLOOKUP(Table3[[#This Row],[EU]],Table2[EU GICS Sector],Table2[Rating],"n.a.",0)</f>
        <v>2</v>
      </c>
    </row>
    <row r="6" spans="1:2" x14ac:dyDescent="0.2">
      <c r="A6" t="s">
        <v>118</v>
      </c>
      <c r="B6">
        <f>+_xlfn.XLOOKUP(Table3[[#This Row],[EU]],Table2[EU GICS Sector],Table2[Rating],"n.a.",0)</f>
        <v>2</v>
      </c>
    </row>
    <row r="7" spans="1:2" x14ac:dyDescent="0.2">
      <c r="A7" t="s">
        <v>21</v>
      </c>
      <c r="B7">
        <f>+_xlfn.XLOOKUP(Table3[[#This Row],[EU]],Table2[EU GICS Sector],Table2[Rating],"n.a.",0)</f>
        <v>1</v>
      </c>
    </row>
    <row r="8" spans="1:2" x14ac:dyDescent="0.2">
      <c r="A8" t="s">
        <v>25</v>
      </c>
      <c r="B8">
        <f>+_xlfn.XLOOKUP(Table3[[#This Row],[EU]],Table2[EU GICS Sector],Table2[Rating],"n.a.",0)</f>
        <v>1</v>
      </c>
    </row>
    <row r="9" spans="1:2" x14ac:dyDescent="0.2">
      <c r="A9" t="s">
        <v>188</v>
      </c>
      <c r="B9">
        <f>+_xlfn.XLOOKUP(Table3[[#This Row],[EU]],Table2[EU GICS Sector],Table2[Rating],"n.a.",0)</f>
        <v>0</v>
      </c>
    </row>
    <row r="10" spans="1:2" x14ac:dyDescent="0.2">
      <c r="A10" t="s">
        <v>11</v>
      </c>
      <c r="B10">
        <f>+_xlfn.XLOOKUP(Table3[[#This Row],[EU]],Table2[EU GICS Sector],Table2[Rating],"n.a.",0)</f>
        <v>0</v>
      </c>
    </row>
    <row r="11" spans="1:2" x14ac:dyDescent="0.2">
      <c r="A11" t="s">
        <v>33</v>
      </c>
      <c r="B11">
        <f>+_xlfn.XLOOKUP(Table3[[#This Row],[EU]],Table2[EU GICS Sector],Table2[Rating],"n.a.",0)</f>
        <v>0</v>
      </c>
    </row>
    <row r="12" spans="1:2" x14ac:dyDescent="0.2">
      <c r="A12" t="s">
        <v>191</v>
      </c>
      <c r="B12">
        <f>+_xlfn.XLOOKUP(Table3[[#This Row],[EU]],Table2[EU GICS Sector],Table2[Rating],"n.a.",0)</f>
        <v>0</v>
      </c>
    </row>
    <row r="14" spans="1:2" x14ac:dyDescent="0.2">
      <c r="A14" s="63" t="s">
        <v>1563</v>
      </c>
      <c r="B14" s="63" t="s">
        <v>1572</v>
      </c>
    </row>
    <row r="15" spans="1:2" x14ac:dyDescent="0.2">
      <c r="A15" t="s">
        <v>118</v>
      </c>
      <c r="B15">
        <v>2</v>
      </c>
    </row>
    <row r="16" spans="1:2" x14ac:dyDescent="0.2">
      <c r="A16" t="s">
        <v>7</v>
      </c>
      <c r="B16">
        <v>2</v>
      </c>
    </row>
    <row r="17" spans="1:2" x14ac:dyDescent="0.2">
      <c r="A17" t="s">
        <v>42</v>
      </c>
      <c r="B17">
        <v>2</v>
      </c>
    </row>
    <row r="18" spans="1:2" x14ac:dyDescent="0.2">
      <c r="A18" t="s">
        <v>18</v>
      </c>
      <c r="B18">
        <v>2</v>
      </c>
    </row>
    <row r="19" spans="1:2" x14ac:dyDescent="0.2">
      <c r="A19" t="s">
        <v>16</v>
      </c>
      <c r="B19">
        <v>2</v>
      </c>
    </row>
    <row r="20" spans="1:2" x14ac:dyDescent="0.2">
      <c r="A20" t="s">
        <v>25</v>
      </c>
      <c r="B20">
        <v>1</v>
      </c>
    </row>
    <row r="21" spans="1:2" x14ac:dyDescent="0.2">
      <c r="A21" t="s">
        <v>188</v>
      </c>
      <c r="B21">
        <v>1</v>
      </c>
    </row>
    <row r="22" spans="1:2" x14ac:dyDescent="0.2">
      <c r="A22" t="s">
        <v>21</v>
      </c>
      <c r="B22">
        <v>1</v>
      </c>
    </row>
    <row r="23" spans="1:2" x14ac:dyDescent="0.2">
      <c r="A23" t="s">
        <v>191</v>
      </c>
      <c r="B23">
        <v>0</v>
      </c>
    </row>
    <row r="24" spans="1:2" x14ac:dyDescent="0.2">
      <c r="A24" t="s">
        <v>11</v>
      </c>
      <c r="B24">
        <v>0</v>
      </c>
    </row>
    <row r="25" spans="1:2" x14ac:dyDescent="0.2">
      <c r="A25" t="s">
        <v>33</v>
      </c>
      <c r="B25">
        <v>0</v>
      </c>
    </row>
    <row r="29" spans="1:2" x14ac:dyDescent="0.2">
      <c r="A29" s="63" t="s">
        <v>1564</v>
      </c>
      <c r="B29" s="63" t="s">
        <v>1572</v>
      </c>
    </row>
    <row r="30" spans="1:2" x14ac:dyDescent="0.2">
      <c r="A30" t="s">
        <v>118</v>
      </c>
      <c r="B30">
        <v>2</v>
      </c>
    </row>
    <row r="31" spans="1:2" x14ac:dyDescent="0.2">
      <c r="A31" t="s">
        <v>7</v>
      </c>
      <c r="B31">
        <v>2</v>
      </c>
    </row>
    <row r="32" spans="1:2" x14ac:dyDescent="0.2">
      <c r="A32" t="s">
        <v>16</v>
      </c>
      <c r="B32">
        <v>2</v>
      </c>
    </row>
    <row r="33" spans="1:3" x14ac:dyDescent="0.2">
      <c r="A33" t="s">
        <v>42</v>
      </c>
      <c r="B33">
        <v>2</v>
      </c>
    </row>
    <row r="34" spans="1:3" x14ac:dyDescent="0.2">
      <c r="A34" t="s">
        <v>18</v>
      </c>
      <c r="B34">
        <v>2</v>
      </c>
    </row>
    <row r="35" spans="1:3" x14ac:dyDescent="0.2">
      <c r="A35" t="s">
        <v>21</v>
      </c>
      <c r="B35">
        <v>1</v>
      </c>
    </row>
    <row r="36" spans="1:3" x14ac:dyDescent="0.2">
      <c r="A36" t="s">
        <v>25</v>
      </c>
      <c r="B36">
        <v>1</v>
      </c>
    </row>
    <row r="37" spans="1:3" ht="15" customHeight="1" x14ac:dyDescent="0.2">
      <c r="A37" t="s">
        <v>191</v>
      </c>
      <c r="B37">
        <v>0</v>
      </c>
    </row>
    <row r="38" spans="1:3" x14ac:dyDescent="0.2">
      <c r="A38" t="s">
        <v>188</v>
      </c>
      <c r="B38">
        <v>0</v>
      </c>
    </row>
    <row r="39" spans="1:3" x14ac:dyDescent="0.2">
      <c r="A39" t="s">
        <v>11</v>
      </c>
      <c r="B39">
        <v>0</v>
      </c>
    </row>
    <row r="40" spans="1:3" x14ac:dyDescent="0.2">
      <c r="A40" t="s">
        <v>33</v>
      </c>
      <c r="B40">
        <v>0</v>
      </c>
      <c r="C40" s="4"/>
    </row>
    <row r="41" spans="1:3" ht="26" customHeight="1" x14ac:dyDescent="0.2">
      <c r="C41" s="4"/>
    </row>
    <row r="42" spans="1:3" ht="50" customHeight="1" x14ac:dyDescent="0.2">
      <c r="A42" s="1">
        <v>0</v>
      </c>
      <c r="B42" s="1" t="s">
        <v>1567</v>
      </c>
      <c r="C42" s="4" t="s">
        <v>1566</v>
      </c>
    </row>
    <row r="43" spans="1:3" ht="68" x14ac:dyDescent="0.2">
      <c r="A43" s="2">
        <v>1</v>
      </c>
      <c r="B43" s="2" t="s">
        <v>1568</v>
      </c>
      <c r="C43" s="4" t="s">
        <v>1376</v>
      </c>
    </row>
    <row r="44" spans="1:3" ht="34" x14ac:dyDescent="0.2">
      <c r="A44" s="3">
        <v>2</v>
      </c>
      <c r="B44" s="3" t="s">
        <v>1569</v>
      </c>
      <c r="C44" s="4" t="s">
        <v>1377</v>
      </c>
    </row>
  </sheetData>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99780-ACCB-C248-9AAE-E7C2A0FB4001}">
  <dimension ref="A1:X49"/>
  <sheetViews>
    <sheetView zoomScale="50" workbookViewId="0">
      <pane ySplit="1" topLeftCell="A2" activePane="bottomLeft" state="frozen"/>
      <selection pane="bottomLeft" activeCell="E47" sqref="E47"/>
    </sheetView>
  </sheetViews>
  <sheetFormatPr baseColWidth="10" defaultRowHeight="16" x14ac:dyDescent="0.2"/>
  <cols>
    <col min="1" max="1" width="37.33203125" bestFit="1" customWidth="1"/>
    <col min="2" max="2" width="11.33203125" customWidth="1"/>
    <col min="3" max="3" width="47.1640625" customWidth="1"/>
    <col min="4" max="4" width="11.33203125" customWidth="1"/>
    <col min="5" max="5" width="49.6640625" customWidth="1"/>
    <col min="7" max="7" width="52.83203125" style="24" customWidth="1"/>
    <col min="9" max="9" width="56" customWidth="1"/>
    <col min="10" max="10" width="12.83203125" customWidth="1"/>
    <col min="11" max="11" width="51.83203125" customWidth="1"/>
    <col min="12" max="12" width="17" customWidth="1"/>
    <col min="13" max="13" width="38.33203125" customWidth="1"/>
    <col min="15" max="15" width="30.83203125" customWidth="1"/>
    <col min="17" max="17" width="36.6640625" customWidth="1"/>
    <col min="19" max="19" width="48.5" customWidth="1"/>
    <col min="21" max="21" width="36" customWidth="1"/>
    <col min="23" max="23" width="58.83203125" customWidth="1"/>
  </cols>
  <sheetData>
    <row r="1" spans="1:23" ht="60" x14ac:dyDescent="0.2">
      <c r="A1" s="15" t="s">
        <v>1378</v>
      </c>
      <c r="B1" s="16" t="s">
        <v>1379</v>
      </c>
      <c r="C1" s="16" t="s">
        <v>1380</v>
      </c>
      <c r="D1" s="16" t="s">
        <v>1381</v>
      </c>
      <c r="E1" s="16" t="s">
        <v>1382</v>
      </c>
      <c r="F1" s="16" t="s">
        <v>1383</v>
      </c>
      <c r="G1" s="16" t="s">
        <v>1384</v>
      </c>
      <c r="H1" s="16" t="s">
        <v>1385</v>
      </c>
      <c r="I1" s="16" t="s">
        <v>1386</v>
      </c>
      <c r="J1" s="16" t="s">
        <v>1387</v>
      </c>
      <c r="K1" s="16" t="s">
        <v>1388</v>
      </c>
      <c r="L1" s="16" t="s">
        <v>1389</v>
      </c>
      <c r="M1" s="16" t="s">
        <v>1390</v>
      </c>
      <c r="N1" s="16" t="s">
        <v>1391</v>
      </c>
      <c r="O1" s="16" t="s">
        <v>1392</v>
      </c>
      <c r="P1" s="16" t="s">
        <v>1393</v>
      </c>
      <c r="Q1" s="16" t="s">
        <v>1394</v>
      </c>
      <c r="R1" s="16" t="s">
        <v>1395</v>
      </c>
      <c r="S1" s="16" t="s">
        <v>1396</v>
      </c>
      <c r="T1" s="16" t="s">
        <v>1397</v>
      </c>
      <c r="U1" s="16" t="s">
        <v>1398</v>
      </c>
      <c r="V1" s="16" t="s">
        <v>1399</v>
      </c>
      <c r="W1" s="16" t="s">
        <v>1400</v>
      </c>
    </row>
    <row r="2" spans="1:23" ht="173" customHeight="1" x14ac:dyDescent="0.2">
      <c r="A2" s="12" t="s">
        <v>1401</v>
      </c>
      <c r="B2" s="13">
        <v>0</v>
      </c>
      <c r="C2" s="14" t="s">
        <v>1421</v>
      </c>
      <c r="D2" s="13">
        <v>1</v>
      </c>
      <c r="E2" s="20" t="s">
        <v>1434</v>
      </c>
      <c r="F2" s="13">
        <v>0</v>
      </c>
      <c r="G2" s="6" t="s">
        <v>1503</v>
      </c>
      <c r="H2" s="13">
        <v>0</v>
      </c>
      <c r="I2" s="6" t="s">
        <v>1476</v>
      </c>
      <c r="J2" s="13">
        <v>0</v>
      </c>
      <c r="K2" s="6" t="s">
        <v>1477</v>
      </c>
      <c r="L2" s="13">
        <v>0</v>
      </c>
      <c r="M2" s="6" t="s">
        <v>1495</v>
      </c>
      <c r="N2" s="13">
        <v>0</v>
      </c>
      <c r="O2" s="29" t="s">
        <v>1496</v>
      </c>
      <c r="P2" s="13">
        <v>0</v>
      </c>
      <c r="Q2" s="29" t="s">
        <v>1497</v>
      </c>
      <c r="R2" s="13">
        <v>0</v>
      </c>
      <c r="S2" s="29" t="s">
        <v>1498</v>
      </c>
      <c r="T2" s="13">
        <v>0</v>
      </c>
      <c r="U2" s="29" t="s">
        <v>1500</v>
      </c>
      <c r="V2" s="13">
        <v>0</v>
      </c>
      <c r="W2" s="14"/>
    </row>
    <row r="3" spans="1:23" ht="182" x14ac:dyDescent="0.2">
      <c r="A3" s="11" t="s">
        <v>1402</v>
      </c>
      <c r="B3" s="7">
        <v>1</v>
      </c>
      <c r="C3" s="8" t="s">
        <v>1422</v>
      </c>
      <c r="D3" s="7">
        <v>2</v>
      </c>
      <c r="E3" s="17" t="s">
        <v>1435</v>
      </c>
      <c r="F3" s="7">
        <v>1</v>
      </c>
      <c r="G3" s="21" t="s">
        <v>1450</v>
      </c>
      <c r="H3" s="7">
        <v>0</v>
      </c>
      <c r="I3" s="6" t="s">
        <v>1476</v>
      </c>
      <c r="J3" s="7">
        <v>0</v>
      </c>
      <c r="K3" s="6" t="s">
        <v>1477</v>
      </c>
      <c r="L3" s="7">
        <v>0</v>
      </c>
      <c r="M3" s="6" t="s">
        <v>1495</v>
      </c>
      <c r="N3" s="7">
        <v>0</v>
      </c>
      <c r="O3" s="29" t="s">
        <v>1496</v>
      </c>
      <c r="P3" s="7">
        <v>0</v>
      </c>
      <c r="Q3" s="29" t="s">
        <v>1497</v>
      </c>
      <c r="R3" s="7">
        <v>0</v>
      </c>
      <c r="S3" s="29" t="s">
        <v>1498</v>
      </c>
      <c r="T3" s="7">
        <v>0</v>
      </c>
      <c r="U3" s="29" t="s">
        <v>1500</v>
      </c>
      <c r="V3" s="7">
        <v>0</v>
      </c>
      <c r="W3" s="8"/>
    </row>
    <row r="4" spans="1:23" ht="247" x14ac:dyDescent="0.2">
      <c r="A4" s="10" t="s">
        <v>1403</v>
      </c>
      <c r="B4" s="5">
        <v>0</v>
      </c>
      <c r="C4" s="6" t="s">
        <v>1421</v>
      </c>
      <c r="D4" s="5">
        <v>2</v>
      </c>
      <c r="E4" s="9" t="s">
        <v>1436</v>
      </c>
      <c r="F4" s="5">
        <v>1</v>
      </c>
      <c r="G4" s="22" t="s">
        <v>1451</v>
      </c>
      <c r="H4" s="5">
        <v>0</v>
      </c>
      <c r="I4" s="6" t="s">
        <v>1476</v>
      </c>
      <c r="J4" s="5">
        <v>0</v>
      </c>
      <c r="K4" s="6" t="s">
        <v>1477</v>
      </c>
      <c r="L4" s="5">
        <v>0</v>
      </c>
      <c r="M4" s="6" t="s">
        <v>1495</v>
      </c>
      <c r="N4" s="5">
        <v>0</v>
      </c>
      <c r="O4" s="29" t="s">
        <v>1496</v>
      </c>
      <c r="P4" s="5">
        <v>0</v>
      </c>
      <c r="Q4" s="29" t="s">
        <v>1497</v>
      </c>
      <c r="R4" s="5">
        <v>0</v>
      </c>
      <c r="S4" s="29" t="s">
        <v>1498</v>
      </c>
      <c r="T4" s="5">
        <v>0</v>
      </c>
      <c r="U4" s="29" t="s">
        <v>1500</v>
      </c>
      <c r="V4" s="5">
        <v>0</v>
      </c>
      <c r="W4" s="6"/>
    </row>
    <row r="5" spans="1:23" ht="126" x14ac:dyDescent="0.2">
      <c r="A5" s="11" t="s">
        <v>1404</v>
      </c>
      <c r="B5" s="7">
        <v>0</v>
      </c>
      <c r="C5" s="6" t="s">
        <v>1421</v>
      </c>
      <c r="D5" s="7">
        <v>1</v>
      </c>
      <c r="E5" s="8" t="s">
        <v>1437</v>
      </c>
      <c r="F5" s="7">
        <v>1</v>
      </c>
      <c r="G5" s="21" t="s">
        <v>1452</v>
      </c>
      <c r="H5" s="7">
        <v>0</v>
      </c>
      <c r="I5" s="6" t="s">
        <v>1476</v>
      </c>
      <c r="J5" s="7">
        <v>0</v>
      </c>
      <c r="K5" s="6" t="s">
        <v>1477</v>
      </c>
      <c r="L5" s="7">
        <v>0</v>
      </c>
      <c r="M5" s="6" t="s">
        <v>1495</v>
      </c>
      <c r="N5" s="7">
        <v>0</v>
      </c>
      <c r="O5" s="29" t="s">
        <v>1496</v>
      </c>
      <c r="P5" s="7">
        <v>0</v>
      </c>
      <c r="Q5" s="29" t="s">
        <v>1497</v>
      </c>
      <c r="R5" s="7">
        <v>0</v>
      </c>
      <c r="S5" s="29" t="s">
        <v>1498</v>
      </c>
      <c r="T5" s="7">
        <v>0</v>
      </c>
      <c r="U5" s="29" t="s">
        <v>1500</v>
      </c>
      <c r="V5" s="7">
        <v>0</v>
      </c>
      <c r="W5" s="8"/>
    </row>
    <row r="6" spans="1:23" ht="272" x14ac:dyDescent="0.2">
      <c r="A6" s="10" t="s">
        <v>1405</v>
      </c>
      <c r="B6" s="5">
        <v>2</v>
      </c>
      <c r="C6" s="9" t="s">
        <v>1423</v>
      </c>
      <c r="D6" s="5">
        <v>0</v>
      </c>
      <c r="E6" s="6" t="s">
        <v>1438</v>
      </c>
      <c r="F6" s="5">
        <v>1</v>
      </c>
      <c r="G6" s="22" t="s">
        <v>1453</v>
      </c>
      <c r="H6" s="5">
        <v>2</v>
      </c>
      <c r="I6" s="6" t="s">
        <v>1464</v>
      </c>
      <c r="J6" s="5">
        <v>0</v>
      </c>
      <c r="K6" s="6" t="s">
        <v>1477</v>
      </c>
      <c r="L6" s="5">
        <v>1</v>
      </c>
      <c r="M6" s="9" t="s">
        <v>1487</v>
      </c>
      <c r="N6" s="5">
        <v>0</v>
      </c>
      <c r="O6" s="29" t="s">
        <v>1496</v>
      </c>
      <c r="P6" s="5">
        <v>0</v>
      </c>
      <c r="Q6" s="29" t="s">
        <v>1497</v>
      </c>
      <c r="R6" s="5">
        <v>0</v>
      </c>
      <c r="S6" s="29" t="s">
        <v>1498</v>
      </c>
      <c r="T6" s="5">
        <v>0</v>
      </c>
      <c r="U6" s="29" t="s">
        <v>1500</v>
      </c>
      <c r="V6" s="5">
        <v>0</v>
      </c>
      <c r="W6" s="6"/>
    </row>
    <row r="7" spans="1:23" ht="409" customHeight="1" x14ac:dyDescent="0.2">
      <c r="A7" s="11" t="s">
        <v>1406</v>
      </c>
      <c r="B7" s="7">
        <v>2</v>
      </c>
      <c r="C7" s="8" t="s">
        <v>1424</v>
      </c>
      <c r="D7" s="7">
        <v>2</v>
      </c>
      <c r="E7" s="17" t="s">
        <v>1439</v>
      </c>
      <c r="F7" s="7">
        <v>2</v>
      </c>
      <c r="G7" s="30" t="s">
        <v>1506</v>
      </c>
      <c r="H7" s="7">
        <v>2</v>
      </c>
      <c r="I7" s="17" t="s">
        <v>1465</v>
      </c>
      <c r="J7" s="7">
        <v>2</v>
      </c>
      <c r="K7" s="6" t="s">
        <v>1486</v>
      </c>
      <c r="L7" s="7">
        <v>1</v>
      </c>
      <c r="M7" s="9" t="s">
        <v>1507</v>
      </c>
      <c r="N7" s="7">
        <v>0</v>
      </c>
      <c r="O7" s="29" t="s">
        <v>1496</v>
      </c>
      <c r="P7" s="7">
        <v>0</v>
      </c>
      <c r="Q7" s="21" t="s">
        <v>1490</v>
      </c>
      <c r="R7" s="7">
        <v>0</v>
      </c>
      <c r="S7" s="29" t="s">
        <v>1498</v>
      </c>
      <c r="T7" s="7">
        <v>1</v>
      </c>
      <c r="U7" s="17" t="s">
        <v>1499</v>
      </c>
      <c r="V7" s="7">
        <v>0</v>
      </c>
      <c r="W7" s="8"/>
    </row>
    <row r="8" spans="1:23" ht="238" x14ac:dyDescent="0.2">
      <c r="A8" s="10" t="s">
        <v>1407</v>
      </c>
      <c r="B8" s="5">
        <v>2</v>
      </c>
      <c r="C8" s="9" t="s">
        <v>1425</v>
      </c>
      <c r="D8" s="5">
        <v>1</v>
      </c>
      <c r="E8" s="9" t="s">
        <v>1440</v>
      </c>
      <c r="F8" s="5">
        <v>1</v>
      </c>
      <c r="G8" s="22" t="s">
        <v>1454</v>
      </c>
      <c r="H8" s="5">
        <v>1</v>
      </c>
      <c r="I8" s="9" t="s">
        <v>1466</v>
      </c>
      <c r="J8" s="5">
        <v>0</v>
      </c>
      <c r="K8" s="6" t="s">
        <v>1477</v>
      </c>
      <c r="L8" s="5">
        <v>0</v>
      </c>
      <c r="M8" s="4"/>
      <c r="N8" s="5">
        <v>1</v>
      </c>
      <c r="O8" s="6" t="s">
        <v>1510</v>
      </c>
      <c r="P8" s="5">
        <v>1</v>
      </c>
      <c r="Q8" s="9" t="s">
        <v>1489</v>
      </c>
      <c r="R8" s="5">
        <v>1</v>
      </c>
      <c r="S8" s="9" t="s">
        <v>1491</v>
      </c>
      <c r="T8" s="5">
        <v>0</v>
      </c>
      <c r="U8" s="29" t="s">
        <v>1500</v>
      </c>
      <c r="V8" s="5">
        <v>0</v>
      </c>
      <c r="W8" s="6"/>
    </row>
    <row r="9" spans="1:23" ht="39" x14ac:dyDescent="0.2">
      <c r="A9" s="11" t="s">
        <v>1408</v>
      </c>
      <c r="B9" s="7">
        <v>0</v>
      </c>
      <c r="C9" s="6" t="s">
        <v>1421</v>
      </c>
      <c r="D9" s="7">
        <v>0</v>
      </c>
      <c r="E9" s="6" t="s">
        <v>1438</v>
      </c>
      <c r="F9" s="7">
        <v>0</v>
      </c>
      <c r="G9" s="23"/>
      <c r="H9" s="7">
        <v>1</v>
      </c>
      <c r="I9" s="6" t="s">
        <v>1467</v>
      </c>
      <c r="J9" s="7">
        <v>1</v>
      </c>
      <c r="K9" s="9" t="s">
        <v>1478</v>
      </c>
      <c r="L9" s="7">
        <v>0</v>
      </c>
      <c r="M9" s="6" t="s">
        <v>1495</v>
      </c>
      <c r="N9" s="7">
        <v>0</v>
      </c>
      <c r="O9" s="29" t="s">
        <v>1496</v>
      </c>
      <c r="P9" s="7">
        <v>0</v>
      </c>
      <c r="Q9" s="29" t="s">
        <v>1497</v>
      </c>
      <c r="R9" s="7">
        <v>0</v>
      </c>
      <c r="S9" s="29" t="s">
        <v>1498</v>
      </c>
      <c r="T9" s="7">
        <v>0</v>
      </c>
      <c r="U9" s="29" t="s">
        <v>1500</v>
      </c>
      <c r="V9" s="7">
        <v>0</v>
      </c>
      <c r="W9" s="8"/>
    </row>
    <row r="10" spans="1:23" ht="224" x14ac:dyDescent="0.2">
      <c r="A10" s="10" t="s">
        <v>1409</v>
      </c>
      <c r="B10" s="5">
        <v>1</v>
      </c>
      <c r="C10" s="6" t="s">
        <v>1426</v>
      </c>
      <c r="D10" s="5">
        <v>1</v>
      </c>
      <c r="E10" s="9" t="s">
        <v>1441</v>
      </c>
      <c r="F10" s="5">
        <v>1</v>
      </c>
      <c r="G10" s="22" t="s">
        <v>1508</v>
      </c>
      <c r="H10" s="5">
        <v>1</v>
      </c>
      <c r="I10" s="25" t="s">
        <v>1468</v>
      </c>
      <c r="J10" s="5">
        <v>2</v>
      </c>
      <c r="K10" s="17" t="s">
        <v>1479</v>
      </c>
      <c r="L10" s="5">
        <v>0</v>
      </c>
      <c r="M10" s="6" t="s">
        <v>1495</v>
      </c>
      <c r="N10" s="5">
        <v>0</v>
      </c>
      <c r="O10" s="29" t="s">
        <v>1496</v>
      </c>
      <c r="P10" s="5">
        <v>0</v>
      </c>
      <c r="Q10" s="29" t="s">
        <v>1497</v>
      </c>
      <c r="R10" s="5">
        <v>0</v>
      </c>
      <c r="S10" s="29" t="s">
        <v>1498</v>
      </c>
      <c r="T10" s="5">
        <v>0</v>
      </c>
      <c r="U10" s="29" t="s">
        <v>1500</v>
      </c>
      <c r="V10" s="5">
        <v>0</v>
      </c>
      <c r="W10" s="6"/>
    </row>
    <row r="11" spans="1:23" ht="409.6" x14ac:dyDescent="0.2">
      <c r="A11" s="11" t="s">
        <v>1410</v>
      </c>
      <c r="B11" s="7">
        <v>1</v>
      </c>
      <c r="C11" s="8" t="s">
        <v>1427</v>
      </c>
      <c r="D11" s="7">
        <v>1</v>
      </c>
      <c r="E11" s="17" t="s">
        <v>1442</v>
      </c>
      <c r="F11" s="7">
        <v>1</v>
      </c>
      <c r="G11" s="21" t="s">
        <v>1455</v>
      </c>
      <c r="H11" s="7">
        <v>1</v>
      </c>
      <c r="I11" s="17" t="s">
        <v>1509</v>
      </c>
      <c r="J11" s="7">
        <v>1</v>
      </c>
      <c r="K11" s="17" t="s">
        <v>1480</v>
      </c>
      <c r="L11" s="7">
        <v>0</v>
      </c>
      <c r="M11" s="6" t="s">
        <v>1495</v>
      </c>
      <c r="N11" s="7">
        <v>0</v>
      </c>
      <c r="O11" s="29" t="s">
        <v>1496</v>
      </c>
      <c r="P11" s="7">
        <v>0</v>
      </c>
      <c r="Q11" s="29" t="s">
        <v>1497</v>
      </c>
      <c r="R11" s="7">
        <v>1</v>
      </c>
      <c r="S11" s="29" t="s">
        <v>1504</v>
      </c>
      <c r="T11" s="7">
        <v>0</v>
      </c>
      <c r="U11" s="29" t="s">
        <v>1500</v>
      </c>
      <c r="V11" s="7">
        <v>0</v>
      </c>
      <c r="W11" s="8"/>
    </row>
    <row r="12" spans="1:23" ht="208" x14ac:dyDescent="0.2">
      <c r="A12" s="10" t="s">
        <v>1411</v>
      </c>
      <c r="B12" s="5">
        <v>2</v>
      </c>
      <c r="C12" s="9" t="s">
        <v>1428</v>
      </c>
      <c r="D12" s="5">
        <v>0</v>
      </c>
      <c r="E12" s="9" t="s">
        <v>1438</v>
      </c>
      <c r="F12" s="5">
        <v>2</v>
      </c>
      <c r="G12" s="22" t="s">
        <v>1456</v>
      </c>
      <c r="H12" s="5">
        <v>2</v>
      </c>
      <c r="I12" s="9" t="s">
        <v>1469</v>
      </c>
      <c r="J12" s="5">
        <v>1</v>
      </c>
      <c r="K12" s="9" t="s">
        <v>1481</v>
      </c>
      <c r="L12" s="5">
        <v>0</v>
      </c>
      <c r="M12" s="6" t="s">
        <v>1495</v>
      </c>
      <c r="N12" s="5">
        <v>0</v>
      </c>
      <c r="O12" s="29" t="s">
        <v>1496</v>
      </c>
      <c r="P12" s="5">
        <v>0</v>
      </c>
      <c r="Q12" s="29" t="s">
        <v>1497</v>
      </c>
      <c r="R12" s="5">
        <v>1</v>
      </c>
      <c r="S12" s="29" t="s">
        <v>1505</v>
      </c>
      <c r="T12" s="5">
        <v>0</v>
      </c>
      <c r="U12" s="29" t="s">
        <v>1500</v>
      </c>
      <c r="V12" s="5">
        <v>0</v>
      </c>
      <c r="W12" s="6"/>
    </row>
    <row r="13" spans="1:23" ht="182" x14ac:dyDescent="0.2">
      <c r="A13" s="11" t="s">
        <v>1412</v>
      </c>
      <c r="B13" s="7">
        <v>2</v>
      </c>
      <c r="C13" s="8" t="s">
        <v>1429</v>
      </c>
      <c r="D13" s="7">
        <v>1</v>
      </c>
      <c r="E13" s="17" t="s">
        <v>1443</v>
      </c>
      <c r="F13" s="7">
        <v>1</v>
      </c>
      <c r="G13" s="21" t="s">
        <v>1457</v>
      </c>
      <c r="H13" s="7">
        <v>1</v>
      </c>
      <c r="I13" s="17" t="s">
        <v>1470</v>
      </c>
      <c r="J13" s="7">
        <v>0</v>
      </c>
      <c r="K13" s="6" t="s">
        <v>1477</v>
      </c>
      <c r="L13" s="7">
        <v>0</v>
      </c>
      <c r="M13" s="6" t="s">
        <v>1495</v>
      </c>
      <c r="N13" s="7">
        <v>0</v>
      </c>
      <c r="O13" s="29" t="s">
        <v>1496</v>
      </c>
      <c r="P13" s="7">
        <v>0</v>
      </c>
      <c r="Q13" s="29" t="s">
        <v>1497</v>
      </c>
      <c r="R13" s="7">
        <v>0</v>
      </c>
      <c r="S13" s="29" t="s">
        <v>1498</v>
      </c>
      <c r="T13" s="7">
        <v>0</v>
      </c>
      <c r="U13" s="29" t="s">
        <v>1500</v>
      </c>
      <c r="V13" s="7">
        <v>0</v>
      </c>
      <c r="W13" s="8"/>
    </row>
    <row r="14" spans="1:23" ht="272" x14ac:dyDescent="0.2">
      <c r="A14" s="10" t="s">
        <v>1413</v>
      </c>
      <c r="B14" s="5">
        <v>1</v>
      </c>
      <c r="C14" s="6" t="s">
        <v>1430</v>
      </c>
      <c r="D14" s="5">
        <v>1</v>
      </c>
      <c r="E14" s="9" t="s">
        <v>1444</v>
      </c>
      <c r="F14" s="5">
        <v>1</v>
      </c>
      <c r="G14" s="22" t="s">
        <v>1458</v>
      </c>
      <c r="H14" s="5">
        <v>2</v>
      </c>
      <c r="I14" s="9" t="s">
        <v>1471</v>
      </c>
      <c r="J14" s="5">
        <v>1</v>
      </c>
      <c r="K14" s="9" t="s">
        <v>1482</v>
      </c>
      <c r="L14" s="5">
        <v>1</v>
      </c>
      <c r="M14" s="9" t="s">
        <v>1488</v>
      </c>
      <c r="N14" s="5">
        <v>0</v>
      </c>
      <c r="O14" s="29" t="s">
        <v>1496</v>
      </c>
      <c r="P14" s="5">
        <v>0</v>
      </c>
      <c r="Q14" s="29" t="s">
        <v>1497</v>
      </c>
      <c r="R14" s="5">
        <v>0</v>
      </c>
      <c r="S14" s="4"/>
      <c r="T14" s="5">
        <v>0</v>
      </c>
      <c r="U14" s="29" t="s">
        <v>1500</v>
      </c>
      <c r="V14" s="5">
        <v>0</v>
      </c>
      <c r="W14" s="6"/>
    </row>
    <row r="15" spans="1:23" ht="112" x14ac:dyDescent="0.2">
      <c r="A15" s="11" t="s">
        <v>1414</v>
      </c>
      <c r="B15" s="7">
        <v>0</v>
      </c>
      <c r="C15" s="6" t="s">
        <v>1421</v>
      </c>
      <c r="D15" s="7">
        <v>0</v>
      </c>
      <c r="E15" s="6" t="s">
        <v>1438</v>
      </c>
      <c r="F15" s="7">
        <v>1</v>
      </c>
      <c r="G15" s="21" t="s">
        <v>1459</v>
      </c>
      <c r="H15" s="7">
        <v>0</v>
      </c>
      <c r="I15" s="8"/>
      <c r="J15" s="7">
        <v>0</v>
      </c>
      <c r="K15" s="6" t="s">
        <v>1477</v>
      </c>
      <c r="L15" s="7">
        <v>0</v>
      </c>
      <c r="M15" s="6" t="s">
        <v>1495</v>
      </c>
      <c r="N15" s="7">
        <v>0</v>
      </c>
      <c r="O15" s="29" t="s">
        <v>1496</v>
      </c>
      <c r="P15" s="7">
        <v>0</v>
      </c>
      <c r="Q15" s="29" t="s">
        <v>1497</v>
      </c>
      <c r="R15" s="7">
        <v>0</v>
      </c>
      <c r="S15" s="29" t="s">
        <v>1498</v>
      </c>
      <c r="T15" s="7">
        <v>0</v>
      </c>
      <c r="U15" s="29" t="s">
        <v>1500</v>
      </c>
      <c r="V15" s="7">
        <v>0</v>
      </c>
      <c r="W15" s="8"/>
    </row>
    <row r="16" spans="1:23" ht="301" customHeight="1" x14ac:dyDescent="0.2">
      <c r="A16" s="10" t="s">
        <v>1415</v>
      </c>
      <c r="B16" s="5">
        <v>2</v>
      </c>
      <c r="C16" s="9" t="s">
        <v>1431</v>
      </c>
      <c r="D16" s="5">
        <v>2</v>
      </c>
      <c r="E16" s="9" t="s">
        <v>1445</v>
      </c>
      <c r="F16" s="5">
        <v>2</v>
      </c>
      <c r="G16" s="22" t="s">
        <v>1460</v>
      </c>
      <c r="H16" s="5">
        <v>1</v>
      </c>
      <c r="I16" s="9" t="s">
        <v>1472</v>
      </c>
      <c r="J16" s="5">
        <v>1</v>
      </c>
      <c r="K16" s="9" t="s">
        <v>1483</v>
      </c>
      <c r="L16" s="5">
        <v>0</v>
      </c>
      <c r="M16" s="9" t="s">
        <v>1511</v>
      </c>
      <c r="N16" s="5">
        <v>0</v>
      </c>
      <c r="O16" s="29" t="s">
        <v>1496</v>
      </c>
      <c r="P16" s="5">
        <v>0</v>
      </c>
      <c r="Q16" s="29" t="s">
        <v>1497</v>
      </c>
      <c r="R16" s="5">
        <v>1</v>
      </c>
      <c r="S16" s="6" t="s">
        <v>1492</v>
      </c>
      <c r="T16" s="5">
        <v>0</v>
      </c>
      <c r="U16" s="29" t="s">
        <v>1500</v>
      </c>
      <c r="V16" s="5">
        <v>0</v>
      </c>
      <c r="W16" s="6"/>
    </row>
    <row r="17" spans="1:24" x14ac:dyDescent="0.2">
      <c r="A17" s="11" t="s">
        <v>1416</v>
      </c>
      <c r="B17" s="7">
        <v>0</v>
      </c>
      <c r="C17" s="6" t="s">
        <v>1421</v>
      </c>
      <c r="D17" s="7">
        <v>0</v>
      </c>
      <c r="E17" s="6" t="s">
        <v>1438</v>
      </c>
      <c r="F17" s="7">
        <v>0</v>
      </c>
      <c r="G17" s="23"/>
      <c r="H17" s="7">
        <v>0</v>
      </c>
      <c r="I17" s="8"/>
      <c r="J17" s="7">
        <v>0</v>
      </c>
      <c r="K17" s="6" t="s">
        <v>1477</v>
      </c>
      <c r="L17" s="7">
        <v>0</v>
      </c>
      <c r="M17" s="6" t="s">
        <v>1495</v>
      </c>
      <c r="N17" s="7">
        <v>0</v>
      </c>
      <c r="O17" s="29" t="s">
        <v>1496</v>
      </c>
      <c r="P17" s="7">
        <v>0</v>
      </c>
      <c r="Q17" s="29" t="s">
        <v>1497</v>
      </c>
      <c r="R17" s="7">
        <v>0</v>
      </c>
      <c r="S17" s="29" t="s">
        <v>1498</v>
      </c>
      <c r="T17" s="7">
        <v>0</v>
      </c>
      <c r="U17" s="29" t="s">
        <v>1500</v>
      </c>
      <c r="V17" s="7">
        <v>0</v>
      </c>
      <c r="W17" s="8"/>
    </row>
    <row r="18" spans="1:24" ht="319" x14ac:dyDescent="0.2">
      <c r="A18" s="10" t="s">
        <v>1417</v>
      </c>
      <c r="B18" s="5">
        <v>2</v>
      </c>
      <c r="C18" s="9" t="s">
        <v>1432</v>
      </c>
      <c r="D18" s="5">
        <v>1</v>
      </c>
      <c r="E18" s="9" t="s">
        <v>1446</v>
      </c>
      <c r="F18" s="5">
        <v>2</v>
      </c>
      <c r="G18" s="22" t="s">
        <v>1461</v>
      </c>
      <c r="H18" s="5">
        <v>2</v>
      </c>
      <c r="I18" s="9" t="s">
        <v>1473</v>
      </c>
      <c r="J18" s="5">
        <v>0</v>
      </c>
      <c r="K18" s="6" t="s">
        <v>1477</v>
      </c>
      <c r="L18" s="5">
        <v>0</v>
      </c>
      <c r="M18" s="6" t="s">
        <v>1495</v>
      </c>
      <c r="N18" s="5">
        <v>0</v>
      </c>
      <c r="O18" s="29" t="s">
        <v>1496</v>
      </c>
      <c r="P18" s="5">
        <v>0</v>
      </c>
      <c r="Q18" s="29" t="s">
        <v>1497</v>
      </c>
      <c r="R18" s="5">
        <v>1</v>
      </c>
      <c r="S18" s="6" t="s">
        <v>1493</v>
      </c>
      <c r="T18" s="5">
        <v>0</v>
      </c>
      <c r="U18" s="29" t="s">
        <v>1500</v>
      </c>
      <c r="V18" s="5">
        <v>0</v>
      </c>
      <c r="W18" s="6"/>
    </row>
    <row r="19" spans="1:24" x14ac:dyDescent="0.2">
      <c r="A19" s="11" t="s">
        <v>1418</v>
      </c>
      <c r="B19" s="7">
        <v>0</v>
      </c>
      <c r="C19" s="6" t="s">
        <v>1421</v>
      </c>
      <c r="D19" s="7">
        <v>0</v>
      </c>
      <c r="E19" s="6" t="s">
        <v>1438</v>
      </c>
      <c r="F19" s="7">
        <v>0</v>
      </c>
      <c r="G19" s="23"/>
      <c r="H19" s="7">
        <v>0</v>
      </c>
      <c r="I19" s="8"/>
      <c r="J19" s="7">
        <v>0</v>
      </c>
      <c r="K19" s="8"/>
      <c r="L19" s="7">
        <v>0</v>
      </c>
      <c r="M19" s="6" t="s">
        <v>1495</v>
      </c>
      <c r="N19" s="5">
        <v>0</v>
      </c>
      <c r="O19" s="29" t="s">
        <v>1496</v>
      </c>
      <c r="P19" s="7">
        <v>0</v>
      </c>
      <c r="Q19" s="29" t="s">
        <v>1497</v>
      </c>
      <c r="R19" s="7">
        <v>0</v>
      </c>
      <c r="S19" s="29" t="s">
        <v>1498</v>
      </c>
      <c r="T19" s="7">
        <v>0</v>
      </c>
      <c r="U19" s="29" t="s">
        <v>1500</v>
      </c>
      <c r="V19" s="7">
        <v>0</v>
      </c>
      <c r="W19" s="8"/>
    </row>
    <row r="20" spans="1:24" ht="249" customHeight="1" x14ac:dyDescent="0.2">
      <c r="A20" s="10" t="s">
        <v>1419</v>
      </c>
      <c r="B20" s="5">
        <v>2</v>
      </c>
      <c r="C20" s="9" t="s">
        <v>1433</v>
      </c>
      <c r="D20" s="5">
        <v>2</v>
      </c>
      <c r="E20" s="9" t="s">
        <v>1447</v>
      </c>
      <c r="F20" s="5">
        <v>1</v>
      </c>
      <c r="G20" s="22" t="s">
        <v>1462</v>
      </c>
      <c r="H20" s="5">
        <v>1</v>
      </c>
      <c r="I20" s="9" t="s">
        <v>1474</v>
      </c>
      <c r="J20" s="5">
        <v>1</v>
      </c>
      <c r="K20" s="9" t="s">
        <v>1484</v>
      </c>
      <c r="L20" s="5">
        <v>0</v>
      </c>
      <c r="M20" s="6" t="s">
        <v>1495</v>
      </c>
      <c r="N20" s="28">
        <v>0</v>
      </c>
      <c r="O20" s="29" t="s">
        <v>1496</v>
      </c>
      <c r="P20" s="5">
        <v>0</v>
      </c>
      <c r="Q20" s="29" t="s">
        <v>1497</v>
      </c>
      <c r="R20" s="5">
        <v>0</v>
      </c>
      <c r="S20" s="29" t="s">
        <v>1498</v>
      </c>
      <c r="T20" s="5">
        <v>0</v>
      </c>
      <c r="U20" s="29" t="s">
        <v>1500</v>
      </c>
      <c r="V20" s="5">
        <v>0</v>
      </c>
      <c r="X20" s="6"/>
    </row>
    <row r="21" spans="1:24" ht="368" x14ac:dyDescent="0.2">
      <c r="A21" s="11" t="s">
        <v>1420</v>
      </c>
      <c r="B21" s="7">
        <v>2</v>
      </c>
      <c r="C21" s="17" t="s">
        <v>1502</v>
      </c>
      <c r="D21" s="7">
        <v>2</v>
      </c>
      <c r="E21" s="17" t="s">
        <v>1448</v>
      </c>
      <c r="F21" s="7">
        <v>2</v>
      </c>
      <c r="G21" s="17" t="s">
        <v>1463</v>
      </c>
      <c r="H21" s="7">
        <v>1</v>
      </c>
      <c r="I21" s="17" t="s">
        <v>1475</v>
      </c>
      <c r="J21" s="7">
        <v>2</v>
      </c>
      <c r="K21" s="17" t="s">
        <v>1485</v>
      </c>
      <c r="L21" s="7">
        <v>0</v>
      </c>
      <c r="M21" s="6" t="s">
        <v>1495</v>
      </c>
      <c r="N21" s="7">
        <v>0</v>
      </c>
      <c r="O21" s="29" t="s">
        <v>1496</v>
      </c>
      <c r="P21" s="7">
        <v>0</v>
      </c>
      <c r="Q21" s="29" t="s">
        <v>1497</v>
      </c>
      <c r="R21" s="7">
        <v>1</v>
      </c>
      <c r="S21" s="17" t="s">
        <v>1494</v>
      </c>
      <c r="T21" s="7">
        <v>0</v>
      </c>
      <c r="U21" s="29" t="s">
        <v>1500</v>
      </c>
      <c r="V21" s="7">
        <v>1</v>
      </c>
      <c r="W21" s="17" t="s">
        <v>1501</v>
      </c>
    </row>
    <row r="22" spans="1:24" x14ac:dyDescent="0.2">
      <c r="H22" s="7"/>
      <c r="O22" s="5"/>
    </row>
    <row r="23" spans="1:24" x14ac:dyDescent="0.2">
      <c r="H23" s="5"/>
      <c r="O23" s="7"/>
    </row>
    <row r="24" spans="1:24" s="33" customFormat="1" x14ac:dyDescent="0.2">
      <c r="A24" s="33" t="s">
        <v>1512</v>
      </c>
      <c r="G24" s="34"/>
      <c r="O24" s="35"/>
    </row>
    <row r="25" spans="1:24" x14ac:dyDescent="0.2">
      <c r="A25" s="1" t="s">
        <v>1373</v>
      </c>
      <c r="B25" s="18">
        <f>+COUNTIF($B$2:$B$21,0)/20</f>
        <v>0.35</v>
      </c>
      <c r="D25" s="19">
        <f>+COUNTIF(D2:D21,0)/20</f>
        <v>0.3</v>
      </c>
      <c r="F25" s="18">
        <f>+COUNTIF($F$2:$F$21,0)/20</f>
        <v>0.2</v>
      </c>
      <c r="H25" s="31">
        <f>+COUNTIF($H$2:$H$21,0)/20</f>
        <v>0.35</v>
      </c>
      <c r="J25" s="18">
        <f>+COUNTIF($J$2:$J$21,0)/20</f>
        <v>0.55000000000000004</v>
      </c>
      <c r="L25" s="18">
        <f>+COUNTIF($L$2:$L$21,0)/20</f>
        <v>0.85</v>
      </c>
      <c r="N25" s="18">
        <f>+COUNTIF($N$2:$N$21,0)/20</f>
        <v>0.95</v>
      </c>
      <c r="O25" s="32"/>
      <c r="P25" s="18">
        <f>+COUNTIF($P$2:$P$21,0)/20</f>
        <v>0.95</v>
      </c>
      <c r="R25" s="18">
        <f>+COUNTIF($R$2:$R$21,0)/20</f>
        <v>0.7</v>
      </c>
      <c r="T25" s="18">
        <f>+COUNTIF($T$2:$T$21,0)/20</f>
        <v>0.95</v>
      </c>
      <c r="V25" s="18">
        <f>+COUNTIF($V$2:$V$21,0)/20</f>
        <v>0.95</v>
      </c>
    </row>
    <row r="26" spans="1:24" x14ac:dyDescent="0.2">
      <c r="A26" s="2" t="s">
        <v>1374</v>
      </c>
      <c r="B26" s="18">
        <f>+COUNTIF($B$2:$B$21,1)/20</f>
        <v>0.2</v>
      </c>
      <c r="D26" s="19">
        <f>+COUNTIF(D2:D21,1)/20</f>
        <v>0.4</v>
      </c>
      <c r="F26" s="18">
        <f>+COUNTIF($F$2:$F$21,1)/20</f>
        <v>0.55000000000000004</v>
      </c>
      <c r="H26" s="26">
        <f>+COUNTIF($H$2:$H$21,1)/20</f>
        <v>0.4</v>
      </c>
      <c r="J26" s="18">
        <f>+COUNTIF($J$2:$J$21,1)/20</f>
        <v>0.3</v>
      </c>
      <c r="L26" s="18">
        <f>+COUNTIF($L$2:$L$21,1)/20</f>
        <v>0.15</v>
      </c>
      <c r="N26" s="18">
        <f>+COUNTIF($N$2:$N$21,1)/20</f>
        <v>0.05</v>
      </c>
      <c r="O26" s="5"/>
      <c r="P26" s="18">
        <f>+COUNTIF($P$2:$P$21,1)/20</f>
        <v>0.05</v>
      </c>
      <c r="R26" s="18">
        <f>+COUNTIF($R$2:$R$21,1)/20</f>
        <v>0.3</v>
      </c>
      <c r="T26" s="18">
        <f>+COUNTIF($T$2:$T$21,1)/20</f>
        <v>0.05</v>
      </c>
      <c r="V26" s="18">
        <f>+COUNTIF($V$2:$V$21,1)/20</f>
        <v>0.05</v>
      </c>
    </row>
    <row r="27" spans="1:24" x14ac:dyDescent="0.2">
      <c r="A27" s="3" t="s">
        <v>1375</v>
      </c>
      <c r="B27" s="18">
        <f>+COUNTIF($B$2:$B$21,2)/20</f>
        <v>0.45</v>
      </c>
      <c r="D27" s="19">
        <f>+COUNTIF(D2:D21,2)/20</f>
        <v>0.3</v>
      </c>
      <c r="F27" s="18">
        <f>+COUNTIF($F$2:$F$21,2)/20</f>
        <v>0.25</v>
      </c>
      <c r="H27" s="26">
        <f>+COUNTIF($H$2:$H$21,2)/20</f>
        <v>0.25</v>
      </c>
      <c r="J27" s="18">
        <f>+COUNTIF($J$2:$J$21,2)/20</f>
        <v>0.15</v>
      </c>
      <c r="L27" s="18">
        <f>+COUNTIF($L$2:$L$21,2)/20</f>
        <v>0</v>
      </c>
      <c r="N27" s="18">
        <f>+COUNTIF($N$2:$N$21,2)/20</f>
        <v>0</v>
      </c>
      <c r="O27" s="7"/>
      <c r="P27" s="18">
        <f>+COUNTIF($P$2:$P$21,2)/20</f>
        <v>0</v>
      </c>
      <c r="R27" s="18">
        <f>+COUNTIF($R$2:$R$21,2)/20</f>
        <v>0</v>
      </c>
      <c r="T27" s="18">
        <f>+COUNTIF($T$2:$T$21,2)/20</f>
        <v>0</v>
      </c>
      <c r="V27" s="18">
        <f>+COUNTIF($V$2:$V$21,2)/20</f>
        <v>0</v>
      </c>
    </row>
    <row r="28" spans="1:24" x14ac:dyDescent="0.2">
      <c r="H28" s="26"/>
      <c r="O28" s="5"/>
    </row>
    <row r="29" spans="1:24" x14ac:dyDescent="0.2">
      <c r="A29" t="s">
        <v>1449</v>
      </c>
      <c r="B29" s="19">
        <f>+SUM(B25:B27)</f>
        <v>1</v>
      </c>
      <c r="D29" s="19">
        <f>+SUM(D25:D27)</f>
        <v>1</v>
      </c>
      <c r="F29" s="19">
        <f>+SUM(F25:F27)</f>
        <v>1</v>
      </c>
      <c r="H29" s="27">
        <f>+SUM(H25:H27)</f>
        <v>1</v>
      </c>
      <c r="J29" s="19">
        <f>+SUM(J25:J27)</f>
        <v>1</v>
      </c>
      <c r="L29" s="19">
        <f>+SUM(L25:L27)</f>
        <v>1</v>
      </c>
      <c r="N29" s="19">
        <f>+SUM(N25:N27)</f>
        <v>1</v>
      </c>
      <c r="O29" s="7"/>
      <c r="P29" s="19">
        <f>+SUM(P25:P27)</f>
        <v>1</v>
      </c>
      <c r="R29" s="19">
        <f>+SUM(R25:R27)</f>
        <v>1</v>
      </c>
      <c r="T29" s="19">
        <f>+SUM(T25:T27)</f>
        <v>1</v>
      </c>
      <c r="V29" s="19">
        <f>+SUM(V25:V27)</f>
        <v>1</v>
      </c>
    </row>
    <row r="30" spans="1:24" x14ac:dyDescent="0.2">
      <c r="D30" s="19"/>
      <c r="H30" s="7"/>
      <c r="O30" s="5"/>
    </row>
    <row r="31" spans="1:24" x14ac:dyDescent="0.2">
      <c r="B31" s="19"/>
      <c r="H31" s="5"/>
      <c r="O31" s="7"/>
    </row>
    <row r="32" spans="1:24" x14ac:dyDescent="0.2">
      <c r="H32" s="7"/>
      <c r="O32" s="5"/>
    </row>
    <row r="33" spans="1:22" x14ac:dyDescent="0.2">
      <c r="H33" s="5"/>
      <c r="O33" s="7"/>
    </row>
    <row r="34" spans="1:22" x14ac:dyDescent="0.2">
      <c r="A34" t="s">
        <v>1543</v>
      </c>
      <c r="B34">
        <f>+SUM(B2:B21)</f>
        <v>22</v>
      </c>
      <c r="D34">
        <f t="shared" ref="D34:V34" si="0">+SUM(D2:D21)</f>
        <v>20</v>
      </c>
      <c r="F34">
        <f t="shared" si="0"/>
        <v>21</v>
      </c>
      <c r="G34"/>
      <c r="H34">
        <f t="shared" si="0"/>
        <v>18</v>
      </c>
      <c r="J34">
        <f t="shared" si="0"/>
        <v>12</v>
      </c>
      <c r="L34">
        <f t="shared" si="0"/>
        <v>3</v>
      </c>
      <c r="N34">
        <f t="shared" si="0"/>
        <v>1</v>
      </c>
      <c r="P34">
        <f t="shared" si="0"/>
        <v>1</v>
      </c>
      <c r="R34">
        <f t="shared" si="0"/>
        <v>6</v>
      </c>
      <c r="T34">
        <f t="shared" si="0"/>
        <v>1</v>
      </c>
      <c r="V34">
        <f t="shared" si="0"/>
        <v>1</v>
      </c>
    </row>
    <row r="35" spans="1:22" x14ac:dyDescent="0.2">
      <c r="H35" s="5"/>
      <c r="O35" s="7"/>
    </row>
    <row r="36" spans="1:22" x14ac:dyDescent="0.2">
      <c r="H36" s="7"/>
      <c r="O36" s="5"/>
    </row>
    <row r="37" spans="1:22" x14ac:dyDescent="0.2">
      <c r="H37" s="5"/>
      <c r="O37" s="5"/>
    </row>
    <row r="38" spans="1:22" x14ac:dyDescent="0.2">
      <c r="A38" s="64" t="s">
        <v>1570</v>
      </c>
      <c r="B38" s="64" t="s">
        <v>1545</v>
      </c>
      <c r="C38" s="64" t="s">
        <v>1572</v>
      </c>
      <c r="D38" s="64" t="s">
        <v>1561</v>
      </c>
      <c r="H38" s="7"/>
      <c r="O38" s="28"/>
    </row>
    <row r="39" spans="1:22" x14ac:dyDescent="0.2">
      <c r="A39" t="s">
        <v>118</v>
      </c>
      <c r="B39">
        <f>+$B$34</f>
        <v>22</v>
      </c>
      <c r="C39">
        <v>2</v>
      </c>
      <c r="D39" t="s">
        <v>1985</v>
      </c>
      <c r="H39" s="5"/>
      <c r="O39" s="7"/>
    </row>
    <row r="40" spans="1:22" x14ac:dyDescent="0.2">
      <c r="A40" t="s">
        <v>7</v>
      </c>
      <c r="B40">
        <f>+$F$34</f>
        <v>21</v>
      </c>
      <c r="C40">
        <v>2</v>
      </c>
      <c r="D40" t="s">
        <v>1985</v>
      </c>
      <c r="H40" s="7"/>
    </row>
    <row r="41" spans="1:22" x14ac:dyDescent="0.2">
      <c r="A41" t="s">
        <v>16</v>
      </c>
      <c r="B41">
        <f>+$D$34</f>
        <v>20</v>
      </c>
      <c r="C41">
        <v>2</v>
      </c>
      <c r="D41" t="s">
        <v>1985</v>
      </c>
    </row>
    <row r="42" spans="1:22" x14ac:dyDescent="0.2">
      <c r="A42" t="s">
        <v>42</v>
      </c>
      <c r="B42">
        <f>+$H$34</f>
        <v>18</v>
      </c>
      <c r="C42">
        <v>2</v>
      </c>
      <c r="D42" t="s">
        <v>1985</v>
      </c>
    </row>
    <row r="43" spans="1:22" x14ac:dyDescent="0.2">
      <c r="A43" t="s">
        <v>18</v>
      </c>
      <c r="B43">
        <f>+$J$34</f>
        <v>12</v>
      </c>
      <c r="C43">
        <v>2</v>
      </c>
      <c r="D43" t="s">
        <v>1985</v>
      </c>
    </row>
    <row r="44" spans="1:22" x14ac:dyDescent="0.2">
      <c r="A44" t="s">
        <v>21</v>
      </c>
      <c r="B44">
        <f>+$R$34</f>
        <v>6</v>
      </c>
      <c r="C44">
        <v>1</v>
      </c>
      <c r="D44" t="s">
        <v>1986</v>
      </c>
    </row>
    <row r="45" spans="1:22" x14ac:dyDescent="0.2">
      <c r="A45" t="s">
        <v>25</v>
      </c>
      <c r="B45">
        <f>+$L$34</f>
        <v>3</v>
      </c>
      <c r="C45">
        <v>1</v>
      </c>
      <c r="D45" t="s">
        <v>1986</v>
      </c>
    </row>
    <row r="46" spans="1:22" x14ac:dyDescent="0.2">
      <c r="A46" t="s">
        <v>11</v>
      </c>
      <c r="B46">
        <f>+$P$34</f>
        <v>1</v>
      </c>
      <c r="C46">
        <v>0</v>
      </c>
      <c r="D46" t="s">
        <v>1987</v>
      </c>
    </row>
    <row r="47" spans="1:22" x14ac:dyDescent="0.2">
      <c r="A47" t="s">
        <v>33</v>
      </c>
      <c r="B47">
        <f>+$N$34</f>
        <v>1</v>
      </c>
      <c r="C47">
        <v>0</v>
      </c>
      <c r="D47" t="s">
        <v>1987</v>
      </c>
    </row>
    <row r="48" spans="1:22" x14ac:dyDescent="0.2">
      <c r="A48" t="s">
        <v>188</v>
      </c>
      <c r="B48">
        <f>+$V$34</f>
        <v>1</v>
      </c>
      <c r="C48">
        <v>0</v>
      </c>
      <c r="D48" t="s">
        <v>1987</v>
      </c>
    </row>
    <row r="49" spans="1:4" x14ac:dyDescent="0.2">
      <c r="A49" t="s">
        <v>191</v>
      </c>
      <c r="B49">
        <f>+$T$34</f>
        <v>1</v>
      </c>
      <c r="C49">
        <v>0</v>
      </c>
      <c r="D49" t="s">
        <v>1987</v>
      </c>
    </row>
  </sheetData>
  <phoneticPr fontId="21" type="noConversion"/>
  <conditionalFormatting sqref="B2:B21">
    <cfRule type="colorScale" priority="21">
      <colorScale>
        <cfvo type="num" val="0"/>
        <cfvo type="num" val="1"/>
        <cfvo type="num" val="2"/>
        <color theme="9" tint="0.79998168889431442"/>
        <color theme="5" tint="0.79998168889431442"/>
        <color rgb="FFFF7E79"/>
      </colorScale>
    </cfRule>
  </conditionalFormatting>
  <conditionalFormatting sqref="D2:D21">
    <cfRule type="colorScale" priority="20">
      <colorScale>
        <cfvo type="min"/>
        <cfvo type="num" val="1"/>
        <cfvo type="max"/>
        <color theme="9" tint="0.79998168889431442"/>
        <color theme="5" tint="0.79998168889431442"/>
        <color rgb="FFFF7E79"/>
      </colorScale>
    </cfRule>
  </conditionalFormatting>
  <conditionalFormatting sqref="F2:F21">
    <cfRule type="colorScale" priority="16">
      <colorScale>
        <cfvo type="min"/>
        <cfvo type="num" val="1"/>
        <cfvo type="max"/>
        <color theme="9" tint="0.79998168889431442"/>
        <color theme="5" tint="0.79998168889431442"/>
        <color rgb="FFFF7E79"/>
      </colorScale>
    </cfRule>
  </conditionalFormatting>
  <conditionalFormatting sqref="G3:G20">
    <cfRule type="colorScale" priority="18">
      <colorScale>
        <cfvo type="min"/>
        <cfvo type="num" val="1"/>
        <cfvo type="max"/>
        <color theme="9" tint="0.79998168889431442"/>
        <color theme="5" tint="0.79998168889431442"/>
        <color rgb="FFFF7E79"/>
      </colorScale>
    </cfRule>
  </conditionalFormatting>
  <conditionalFormatting sqref="H2:H21">
    <cfRule type="colorScale" priority="14">
      <colorScale>
        <cfvo type="min"/>
        <cfvo type="num" val="1"/>
        <cfvo type="max"/>
        <color theme="9" tint="0.79998168889431442"/>
        <color theme="5" tint="0.79998168889431442"/>
        <color rgb="FFFF7E79"/>
      </colorScale>
    </cfRule>
  </conditionalFormatting>
  <conditionalFormatting sqref="H31:H33 H22 H35:H40">
    <cfRule type="colorScale" priority="15">
      <colorScale>
        <cfvo type="min"/>
        <cfvo type="num" val="1"/>
        <cfvo type="max"/>
        <color theme="9" tint="0.79998168889431442"/>
        <color theme="5" tint="0.79998168889431442"/>
        <color rgb="FFFF7E79"/>
      </colorScale>
    </cfRule>
  </conditionalFormatting>
  <conditionalFormatting sqref="J2:J21">
    <cfRule type="colorScale" priority="13">
      <colorScale>
        <cfvo type="min"/>
        <cfvo type="num" val="1"/>
        <cfvo type="max"/>
        <color theme="9" tint="0.79998168889431442"/>
        <color theme="5" tint="0.79998168889431442"/>
        <color rgb="FFFF7E79"/>
      </colorScale>
    </cfRule>
  </conditionalFormatting>
  <conditionalFormatting sqref="L2:L21">
    <cfRule type="colorScale" priority="1">
      <colorScale>
        <cfvo type="num" val="0"/>
        <cfvo type="num" val="1"/>
        <cfvo type="num" val="2"/>
        <color theme="9" tint="0.79998168889431442"/>
        <color theme="5" tint="0.79998168889431442"/>
        <color rgb="FFFF7E79"/>
      </colorScale>
    </cfRule>
  </conditionalFormatting>
  <conditionalFormatting sqref="N2:N21">
    <cfRule type="colorScale" priority="8">
      <colorScale>
        <cfvo type="min"/>
        <cfvo type="num" val="1"/>
        <cfvo type="max"/>
        <color theme="9" tint="0.79998168889431442"/>
        <color theme="5" tint="0.79998168889431442"/>
        <color rgb="FFFF7E79"/>
      </colorScale>
    </cfRule>
  </conditionalFormatting>
  <conditionalFormatting sqref="O22:O33 O35:O39">
    <cfRule type="colorScale" priority="9">
      <colorScale>
        <cfvo type="min"/>
        <cfvo type="num" val="1"/>
        <cfvo type="max"/>
        <color theme="9" tint="0.79998168889431442"/>
        <color theme="5" tint="0.79998168889431442"/>
        <color rgb="FFFF7E79"/>
      </colorScale>
    </cfRule>
  </conditionalFormatting>
  <conditionalFormatting sqref="P2:P21">
    <cfRule type="colorScale" priority="5">
      <colorScale>
        <cfvo type="num" val="0"/>
        <cfvo type="num" val="1"/>
        <cfvo type="num" val="2"/>
        <color theme="9" tint="0.79998168889431442"/>
        <color theme="5" tint="0.79998168889431442"/>
        <color rgb="FFFF7E79"/>
      </colorScale>
    </cfRule>
  </conditionalFormatting>
  <conditionalFormatting sqref="R2:R21">
    <cfRule type="colorScale" priority="4">
      <colorScale>
        <cfvo type="num" val="0"/>
        <cfvo type="num" val="1"/>
        <cfvo type="num" val="2"/>
        <color theme="9" tint="0.79998168889431442"/>
        <color theme="5" tint="0.79998168889431442"/>
        <color rgb="FFFF7E79"/>
      </colorScale>
    </cfRule>
  </conditionalFormatting>
  <conditionalFormatting sqref="T2:T21">
    <cfRule type="colorScale" priority="3">
      <colorScale>
        <cfvo type="num" val="0"/>
        <cfvo type="num" val="1"/>
        <cfvo type="num" val="2"/>
        <color theme="9" tint="0.79998168889431442"/>
        <color theme="5" tint="0.79998168889431442"/>
        <color rgb="FFFF7E79"/>
      </colorScale>
    </cfRule>
  </conditionalFormatting>
  <conditionalFormatting sqref="V2:V21">
    <cfRule type="colorScale" priority="2">
      <colorScale>
        <cfvo type="num" val="0"/>
        <cfvo type="num" val="1"/>
        <cfvo type="num" val="2"/>
        <color theme="9" tint="0.79998168889431442"/>
        <color theme="5" tint="0.79998168889431442"/>
        <color rgb="FFFF7E79"/>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C685A-77F5-6348-BEB5-6A9556E3C8AD}">
  <dimension ref="A1:AL34"/>
  <sheetViews>
    <sheetView workbookViewId="0">
      <pane ySplit="1" topLeftCell="A5" activePane="bottomLeft" state="frozen"/>
      <selection pane="bottomLeft" activeCell="C23" sqref="C23"/>
    </sheetView>
  </sheetViews>
  <sheetFormatPr baseColWidth="10" defaultRowHeight="16" x14ac:dyDescent="0.2"/>
  <cols>
    <col min="1" max="1" width="26.6640625" customWidth="1"/>
    <col min="2" max="2" width="13.6640625" bestFit="1" customWidth="1"/>
    <col min="3" max="3" width="108.83203125" customWidth="1"/>
    <col min="5" max="5" width="87.1640625" customWidth="1"/>
    <col min="7" max="7" width="76.33203125" customWidth="1"/>
    <col min="9" max="9" width="67.5" customWidth="1"/>
    <col min="11" max="11" width="65.33203125" customWidth="1"/>
    <col min="13" max="13" width="60.6640625" customWidth="1"/>
    <col min="15" max="15" width="65" customWidth="1"/>
    <col min="17" max="17" width="54.83203125" customWidth="1"/>
    <col min="19" max="19" width="99.83203125" customWidth="1"/>
    <col min="21" max="21" width="82" customWidth="1"/>
    <col min="23" max="23" width="92" customWidth="1"/>
  </cols>
  <sheetData>
    <row r="1" spans="1:38" ht="90" x14ac:dyDescent="0.2">
      <c r="A1" s="44" t="s">
        <v>1542</v>
      </c>
      <c r="B1" s="16" t="s">
        <v>1379</v>
      </c>
      <c r="C1" s="16" t="s">
        <v>1380</v>
      </c>
      <c r="D1" s="16" t="s">
        <v>1381</v>
      </c>
      <c r="E1" s="16" t="s">
        <v>1382</v>
      </c>
      <c r="F1" s="16" t="s">
        <v>1383</v>
      </c>
      <c r="G1" s="16" t="s">
        <v>1384</v>
      </c>
      <c r="H1" s="16" t="s">
        <v>1385</v>
      </c>
      <c r="I1" s="16" t="s">
        <v>1386</v>
      </c>
      <c r="J1" s="16" t="s">
        <v>1387</v>
      </c>
      <c r="K1" s="16" t="s">
        <v>1388</v>
      </c>
      <c r="L1" s="16" t="s">
        <v>1389</v>
      </c>
      <c r="M1" s="16" t="s">
        <v>1390</v>
      </c>
      <c r="N1" s="16" t="s">
        <v>1391</v>
      </c>
      <c r="O1" s="16" t="s">
        <v>1392</v>
      </c>
      <c r="P1" s="16" t="s">
        <v>1393</v>
      </c>
      <c r="Q1" s="16" t="s">
        <v>1394</v>
      </c>
      <c r="R1" s="16" t="s">
        <v>1395</v>
      </c>
      <c r="S1" s="16" t="s">
        <v>1396</v>
      </c>
      <c r="T1" s="16" t="s">
        <v>1397</v>
      </c>
      <c r="U1" s="16" t="s">
        <v>1398</v>
      </c>
      <c r="V1" s="16" t="s">
        <v>1399</v>
      </c>
      <c r="W1" s="16" t="s">
        <v>1400</v>
      </c>
    </row>
    <row r="2" spans="1:38" ht="207" customHeight="1" x14ac:dyDescent="0.2">
      <c r="A2" s="36" t="s">
        <v>1514</v>
      </c>
      <c r="B2" s="88" t="s">
        <v>1541</v>
      </c>
      <c r="C2" s="88"/>
      <c r="D2" s="88"/>
      <c r="E2" s="88"/>
      <c r="F2" s="88"/>
      <c r="G2" s="88"/>
      <c r="H2" s="88"/>
      <c r="I2" s="88"/>
      <c r="J2" s="88"/>
      <c r="K2" s="88"/>
      <c r="L2" s="88"/>
      <c r="M2" s="88"/>
      <c r="N2" s="88"/>
      <c r="O2" s="88"/>
      <c r="P2" s="88"/>
      <c r="Q2" s="88"/>
      <c r="R2" s="88"/>
      <c r="S2" s="88"/>
      <c r="T2" s="88"/>
      <c r="U2" s="88"/>
      <c r="V2" s="88"/>
      <c r="W2" s="88"/>
    </row>
    <row r="3" spans="1:38" ht="60" x14ac:dyDescent="0.2">
      <c r="A3" s="15" t="s">
        <v>1513</v>
      </c>
      <c r="B3" s="16" t="s">
        <v>1379</v>
      </c>
      <c r="C3" s="16" t="s">
        <v>1380</v>
      </c>
      <c r="D3" s="16" t="s">
        <v>1381</v>
      </c>
      <c r="E3" s="16" t="s">
        <v>1382</v>
      </c>
      <c r="F3" s="16" t="s">
        <v>1383</v>
      </c>
      <c r="G3" s="16" t="s">
        <v>1384</v>
      </c>
      <c r="H3" s="16" t="s">
        <v>1385</v>
      </c>
      <c r="I3" s="16" t="s">
        <v>1386</v>
      </c>
      <c r="J3" s="16" t="s">
        <v>1387</v>
      </c>
      <c r="K3" s="16" t="s">
        <v>1388</v>
      </c>
      <c r="L3" s="16" t="s">
        <v>1389</v>
      </c>
      <c r="M3" s="16" t="s">
        <v>1390</v>
      </c>
      <c r="N3" s="16" t="s">
        <v>1391</v>
      </c>
      <c r="O3" s="16" t="s">
        <v>1392</v>
      </c>
      <c r="P3" s="16" t="s">
        <v>1393</v>
      </c>
      <c r="Q3" s="16" t="s">
        <v>1394</v>
      </c>
      <c r="R3" s="16" t="s">
        <v>1395</v>
      </c>
      <c r="S3" s="16" t="s">
        <v>1396</v>
      </c>
      <c r="T3" s="16" t="s">
        <v>1397</v>
      </c>
      <c r="U3" s="16" t="s">
        <v>1398</v>
      </c>
      <c r="V3" s="16" t="s">
        <v>1399</v>
      </c>
      <c r="W3" s="16" t="s">
        <v>1400</v>
      </c>
    </row>
    <row r="4" spans="1:38" s="38" customFormat="1" ht="384" x14ac:dyDescent="0.2">
      <c r="A4" s="37" t="s">
        <v>1516</v>
      </c>
      <c r="B4" s="13">
        <v>2</v>
      </c>
      <c r="C4" s="39" t="s">
        <v>1535</v>
      </c>
      <c r="D4" s="13">
        <v>2</v>
      </c>
      <c r="E4" s="43" t="s">
        <v>1518</v>
      </c>
      <c r="F4" s="13">
        <v>2</v>
      </c>
      <c r="G4" s="43" t="s">
        <v>1524</v>
      </c>
      <c r="H4" s="13">
        <v>2</v>
      </c>
      <c r="I4" s="43" t="s">
        <v>1521</v>
      </c>
      <c r="J4" s="13">
        <v>2</v>
      </c>
      <c r="L4" s="13">
        <v>2</v>
      </c>
      <c r="M4" s="43" t="s">
        <v>1529</v>
      </c>
      <c r="N4" s="13">
        <v>1</v>
      </c>
      <c r="O4" s="43" t="s">
        <v>1532</v>
      </c>
      <c r="P4" s="45">
        <v>1</v>
      </c>
      <c r="Q4" s="43" t="s">
        <v>1533</v>
      </c>
      <c r="R4" s="45">
        <v>2</v>
      </c>
      <c r="S4" s="43" t="s">
        <v>1534</v>
      </c>
      <c r="T4" s="45">
        <v>2</v>
      </c>
      <c r="U4" s="43" t="s">
        <v>1536</v>
      </c>
      <c r="V4" s="45">
        <v>2</v>
      </c>
      <c r="W4" s="43" t="s">
        <v>1537</v>
      </c>
    </row>
    <row r="5" spans="1:38" s="38" customFormat="1" ht="409.6" x14ac:dyDescent="0.2">
      <c r="A5" s="37" t="s">
        <v>1538</v>
      </c>
      <c r="B5" s="7">
        <v>2</v>
      </c>
      <c r="C5" s="43" t="s">
        <v>1540</v>
      </c>
      <c r="D5" s="7">
        <v>2</v>
      </c>
      <c r="E5" s="43" t="s">
        <v>1520</v>
      </c>
      <c r="F5" s="7">
        <v>2</v>
      </c>
      <c r="G5" s="43" t="s">
        <v>1525</v>
      </c>
      <c r="H5" s="7">
        <v>2</v>
      </c>
      <c r="I5" s="43" t="s">
        <v>1522</v>
      </c>
      <c r="J5" s="7">
        <v>2</v>
      </c>
      <c r="K5" s="43" t="s">
        <v>1527</v>
      </c>
      <c r="L5" s="7">
        <v>1</v>
      </c>
      <c r="M5" s="43" t="s">
        <v>1530</v>
      </c>
      <c r="N5" s="7">
        <v>0</v>
      </c>
      <c r="P5" s="46">
        <v>0</v>
      </c>
      <c r="R5" s="46">
        <v>0</v>
      </c>
      <c r="T5" s="46">
        <v>0</v>
      </c>
      <c r="V5" s="46">
        <v>1</v>
      </c>
      <c r="W5" s="43" t="s">
        <v>1539</v>
      </c>
    </row>
    <row r="6" spans="1:38" s="38" customFormat="1" ht="295" customHeight="1" x14ac:dyDescent="0.2">
      <c r="A6" s="37" t="s">
        <v>1515</v>
      </c>
      <c r="B6" s="5">
        <v>2</v>
      </c>
      <c r="C6" s="43" t="s">
        <v>1517</v>
      </c>
      <c r="D6" s="5">
        <v>1</v>
      </c>
      <c r="E6" s="43" t="s">
        <v>1519</v>
      </c>
      <c r="F6" s="5">
        <v>2</v>
      </c>
      <c r="G6" s="43" t="s">
        <v>1526</v>
      </c>
      <c r="H6" s="5">
        <v>2</v>
      </c>
      <c r="I6" s="43" t="s">
        <v>1523</v>
      </c>
      <c r="J6" s="5">
        <v>2</v>
      </c>
      <c r="K6" s="43" t="s">
        <v>1528</v>
      </c>
      <c r="L6" s="5">
        <v>1</v>
      </c>
      <c r="M6" s="43" t="s">
        <v>1531</v>
      </c>
      <c r="N6" s="5">
        <v>0</v>
      </c>
      <c r="P6" s="47">
        <v>0</v>
      </c>
      <c r="R6" s="47">
        <v>0</v>
      </c>
      <c r="T6" s="47">
        <v>0</v>
      </c>
      <c r="V6" s="47">
        <v>0</v>
      </c>
    </row>
    <row r="7" spans="1:38" s="38" customFormat="1" ht="13" x14ac:dyDescent="0.2">
      <c r="B7" s="65"/>
    </row>
    <row r="8" spans="1:38" s="74" customFormat="1" x14ac:dyDescent="0.2">
      <c r="A8" s="78"/>
      <c r="B8" s="66"/>
    </row>
    <row r="9" spans="1:38" s="74" customFormat="1" ht="14" x14ac:dyDescent="0.2">
      <c r="A9" s="79" t="s">
        <v>1571</v>
      </c>
      <c r="B9" s="66">
        <f>+SUM(B4+B5+B6)</f>
        <v>6</v>
      </c>
      <c r="C9" s="66"/>
      <c r="D9" s="66">
        <f t="shared" ref="D9:AL9" si="0">+SUM(D4+D5+D6)</f>
        <v>5</v>
      </c>
      <c r="E9" s="66"/>
      <c r="F9" s="66">
        <f t="shared" si="0"/>
        <v>6</v>
      </c>
      <c r="G9" s="66" t="e">
        <f t="shared" si="0"/>
        <v>#VALUE!</v>
      </c>
      <c r="H9" s="66">
        <f t="shared" si="0"/>
        <v>6</v>
      </c>
      <c r="I9" s="66"/>
      <c r="J9" s="66">
        <f t="shared" si="0"/>
        <v>6</v>
      </c>
      <c r="K9" s="66"/>
      <c r="L9" s="66">
        <f t="shared" si="0"/>
        <v>4</v>
      </c>
      <c r="M9" s="66" t="e">
        <f t="shared" si="0"/>
        <v>#VALUE!</v>
      </c>
      <c r="N9" s="66">
        <f t="shared" si="0"/>
        <v>1</v>
      </c>
      <c r="O9" s="66"/>
      <c r="P9" s="66">
        <f t="shared" si="0"/>
        <v>1</v>
      </c>
      <c r="Q9" s="66"/>
      <c r="R9" s="66">
        <f t="shared" si="0"/>
        <v>2</v>
      </c>
      <c r="S9" s="66"/>
      <c r="T9" s="66">
        <f t="shared" si="0"/>
        <v>2</v>
      </c>
      <c r="U9" s="66"/>
      <c r="V9" s="66">
        <f t="shared" si="0"/>
        <v>3</v>
      </c>
      <c r="W9" s="66"/>
      <c r="X9" s="66"/>
      <c r="Y9" s="66"/>
      <c r="Z9" s="66"/>
      <c r="AA9" s="66"/>
      <c r="AB9" s="66"/>
      <c r="AC9" s="66"/>
      <c r="AD9" s="66"/>
      <c r="AE9" s="66"/>
      <c r="AF9" s="66"/>
      <c r="AG9" s="66"/>
      <c r="AH9" s="66"/>
      <c r="AI9" s="66">
        <f t="shared" si="0"/>
        <v>0</v>
      </c>
      <c r="AJ9" s="66">
        <f t="shared" si="0"/>
        <v>0</v>
      </c>
      <c r="AK9" s="66">
        <f t="shared" si="0"/>
        <v>0</v>
      </c>
      <c r="AL9" s="66">
        <f t="shared" si="0"/>
        <v>0</v>
      </c>
    </row>
    <row r="10" spans="1:38" s="74" customFormat="1" ht="13" x14ac:dyDescent="0.2">
      <c r="A10" s="75"/>
      <c r="B10" s="58"/>
      <c r="C10" s="76"/>
      <c r="D10" s="76"/>
      <c r="E10" s="76"/>
      <c r="F10" s="76"/>
      <c r="G10" s="77"/>
    </row>
    <row r="11" spans="1:38" s="38" customFormat="1" ht="13" x14ac:dyDescent="0.2"/>
    <row r="12" spans="1:38" s="38" customFormat="1" ht="13" x14ac:dyDescent="0.2"/>
    <row r="13" spans="1:38" s="38" customFormat="1" ht="13" x14ac:dyDescent="0.2"/>
    <row r="14" spans="1:38" s="38" customFormat="1" ht="13" x14ac:dyDescent="0.2"/>
    <row r="15" spans="1:38" s="40" customFormat="1" ht="13" x14ac:dyDescent="0.2">
      <c r="A15" s="40" t="s">
        <v>1512</v>
      </c>
      <c r="G15" s="41"/>
      <c r="O15" s="42"/>
    </row>
    <row r="16" spans="1:38" x14ac:dyDescent="0.2">
      <c r="A16" s="1" t="s">
        <v>1373</v>
      </c>
      <c r="B16" s="18">
        <f>COUNTIF(B4:B6,0)/3</f>
        <v>0</v>
      </c>
      <c r="D16" s="19">
        <f>COUNTIF(D4:D6,0)/3</f>
        <v>0</v>
      </c>
      <c r="F16" s="18">
        <f>COUNTIF(F4:F6,0)/3</f>
        <v>0</v>
      </c>
      <c r="G16" s="24"/>
      <c r="H16" s="31">
        <f>COUNTIF(H4:H6,0)/3</f>
        <v>0</v>
      </c>
      <c r="J16" s="18">
        <f>COUNTIF(J4:J6,0)/3</f>
        <v>0</v>
      </c>
      <c r="L16" s="18">
        <f>COUNTIF(L4:L6,0)/3</f>
        <v>0</v>
      </c>
      <c r="N16" s="18">
        <f>COUNTIF(N4:N6,0)/3</f>
        <v>0.66666666666666663</v>
      </c>
      <c r="O16" s="32"/>
      <c r="P16" s="18">
        <f>COUNTIF(P4:P6,0)/3</f>
        <v>0.66666666666666663</v>
      </c>
      <c r="R16" s="18">
        <f>COUNTIF(R4:R6,0)/3</f>
        <v>0.66666666666666663</v>
      </c>
      <c r="T16" s="18">
        <f>COUNTIF(T4:T6,0)/3</f>
        <v>0.66666666666666663</v>
      </c>
      <c r="V16" s="18">
        <f>COUNTIF(V4:V6,0)/3</f>
        <v>0.33333333333333331</v>
      </c>
    </row>
    <row r="17" spans="1:22" x14ac:dyDescent="0.2">
      <c r="A17" s="2" t="s">
        <v>1374</v>
      </c>
      <c r="B17" s="18">
        <f>COUNTIF(B4:B6,1)/3</f>
        <v>0</v>
      </c>
      <c r="D17" s="19">
        <f>COUNTIF(D4:D6,1)/3</f>
        <v>0.33333333333333331</v>
      </c>
      <c r="F17" s="18">
        <f>COUNTIF(F4:F6,1)/3</f>
        <v>0</v>
      </c>
      <c r="G17" s="24"/>
      <c r="H17" s="26">
        <f>COUNTIF(H4:H6,1)/3</f>
        <v>0</v>
      </c>
      <c r="J17" s="18">
        <f>COUNTIF(J4:J6,1)/3</f>
        <v>0</v>
      </c>
      <c r="L17" s="18">
        <f>COUNTIF(L4:L6,1)/3</f>
        <v>0.66666666666666663</v>
      </c>
      <c r="N17" s="18">
        <f>COUNTIF(N4:N6,1)/3</f>
        <v>0.33333333333333331</v>
      </c>
      <c r="O17" s="5"/>
      <c r="P17" s="18">
        <f>COUNTIF(P4:P6,1)/3</f>
        <v>0.33333333333333331</v>
      </c>
      <c r="R17" s="18">
        <f>COUNTIF(R4:R6,1)/3</f>
        <v>0</v>
      </c>
      <c r="T17" s="18">
        <f>COUNTIF(T4:T6,1)/3</f>
        <v>0</v>
      </c>
      <c r="V17" s="18">
        <f>COUNTIF(V4:V6,1)/3</f>
        <v>0.33333333333333331</v>
      </c>
    </row>
    <row r="18" spans="1:22" x14ac:dyDescent="0.2">
      <c r="A18" s="3" t="s">
        <v>1375</v>
      </c>
      <c r="B18" s="18">
        <f>COUNTIF(B4:B6,2)/3</f>
        <v>1</v>
      </c>
      <c r="D18" s="19">
        <f>COUNTIF(D4:D6,2)/3</f>
        <v>0.66666666666666663</v>
      </c>
      <c r="F18" s="18">
        <f>COUNTIF(F4:F6,2)/3</f>
        <v>1</v>
      </c>
      <c r="G18" s="24"/>
      <c r="H18" s="26">
        <f>COUNTIF(H4:H6,2)/3</f>
        <v>1</v>
      </c>
      <c r="J18" s="18">
        <f>COUNTIF(J4:J6,2)/3</f>
        <v>1</v>
      </c>
      <c r="L18" s="18">
        <f>COUNTIF(L4:L6,2)/3</f>
        <v>0.33333333333333331</v>
      </c>
      <c r="N18" s="18">
        <f>COUNTIF(N4:N6,2)/3</f>
        <v>0</v>
      </c>
      <c r="O18" s="7"/>
      <c r="P18" s="18">
        <f>COUNTIF(P4:P6,2)/3</f>
        <v>0</v>
      </c>
      <c r="R18" s="18">
        <f>COUNTIF(R4:R6,2)/3</f>
        <v>0.33333333333333331</v>
      </c>
      <c r="T18" s="18">
        <f>COUNTIF(T4:T6,2)/3</f>
        <v>0.33333333333333331</v>
      </c>
      <c r="V18" s="18">
        <f>COUNTIF(V4:V6,2)/3</f>
        <v>0.33333333333333331</v>
      </c>
    </row>
    <row r="19" spans="1:22" x14ac:dyDescent="0.2">
      <c r="G19" s="24"/>
      <c r="H19" s="26"/>
      <c r="O19" s="5"/>
    </row>
    <row r="20" spans="1:22" x14ac:dyDescent="0.2">
      <c r="B20" s="19">
        <f>SUM(B16:B18)</f>
        <v>1</v>
      </c>
      <c r="D20" s="19">
        <f>SUM(D16:D18)</f>
        <v>1</v>
      </c>
      <c r="F20" s="19">
        <f>SUM(F16:F18)</f>
        <v>1</v>
      </c>
      <c r="G20" s="24"/>
      <c r="H20" s="27">
        <f>SUM(H16:H18)</f>
        <v>1</v>
      </c>
      <c r="J20" s="19">
        <f>SUM(J16:J18)</f>
        <v>1</v>
      </c>
      <c r="L20" s="19">
        <f>SUM(L16:L18)</f>
        <v>1</v>
      </c>
      <c r="N20" s="19">
        <f>SUM(N16:N18)</f>
        <v>1</v>
      </c>
      <c r="O20" s="7"/>
      <c r="P20" s="19">
        <f>SUM(P16:P18)</f>
        <v>1</v>
      </c>
      <c r="R20" s="19">
        <f>SUM(R16:R18)</f>
        <v>1</v>
      </c>
      <c r="T20" s="19">
        <f>SUM(T16:T18)</f>
        <v>1</v>
      </c>
      <c r="V20" s="19">
        <f>SUM(V16:V18)</f>
        <v>1</v>
      </c>
    </row>
    <row r="22" spans="1:22" x14ac:dyDescent="0.2">
      <c r="A22" s="63" t="s">
        <v>3</v>
      </c>
      <c r="B22" s="73" t="s">
        <v>1561</v>
      </c>
      <c r="C22" s="70" t="s">
        <v>1572</v>
      </c>
      <c r="D22" s="70" t="s">
        <v>1988</v>
      </c>
    </row>
    <row r="23" spans="1:22" x14ac:dyDescent="0.2">
      <c r="A23" t="s">
        <v>118</v>
      </c>
      <c r="B23" s="72">
        <f>+$B$9</f>
        <v>6</v>
      </c>
      <c r="C23">
        <v>2</v>
      </c>
      <c r="D23" t="s">
        <v>1985</v>
      </c>
    </row>
    <row r="24" spans="1:22" x14ac:dyDescent="0.2">
      <c r="A24" t="s">
        <v>7</v>
      </c>
      <c r="B24" s="72">
        <f>+$F$9</f>
        <v>6</v>
      </c>
      <c r="C24">
        <v>2</v>
      </c>
      <c r="D24" t="s">
        <v>1985</v>
      </c>
    </row>
    <row r="25" spans="1:22" x14ac:dyDescent="0.2">
      <c r="A25" t="s">
        <v>42</v>
      </c>
      <c r="B25" s="72">
        <f>+$H$9</f>
        <v>6</v>
      </c>
      <c r="C25">
        <v>2</v>
      </c>
      <c r="D25" t="s">
        <v>1985</v>
      </c>
    </row>
    <row r="26" spans="1:22" x14ac:dyDescent="0.2">
      <c r="A26" t="s">
        <v>18</v>
      </c>
      <c r="B26" s="72">
        <f>+$J$9</f>
        <v>6</v>
      </c>
      <c r="C26">
        <v>2</v>
      </c>
      <c r="D26" t="s">
        <v>1985</v>
      </c>
    </row>
    <row r="27" spans="1:22" x14ac:dyDescent="0.2">
      <c r="A27" t="s">
        <v>16</v>
      </c>
      <c r="B27" s="72">
        <f>+$D$9</f>
        <v>5</v>
      </c>
      <c r="C27">
        <v>2</v>
      </c>
      <c r="D27" t="s">
        <v>1985</v>
      </c>
    </row>
    <row r="28" spans="1:22" x14ac:dyDescent="0.2">
      <c r="A28" t="s">
        <v>25</v>
      </c>
      <c r="B28" s="72">
        <f>+$L$9</f>
        <v>4</v>
      </c>
      <c r="C28">
        <v>1</v>
      </c>
      <c r="D28" t="s">
        <v>1986</v>
      </c>
    </row>
    <row r="29" spans="1:22" x14ac:dyDescent="0.2">
      <c r="A29" t="s">
        <v>188</v>
      </c>
      <c r="B29" s="72">
        <f>+$V$9</f>
        <v>3</v>
      </c>
      <c r="C29">
        <v>1</v>
      </c>
      <c r="D29" t="s">
        <v>1986</v>
      </c>
    </row>
    <row r="30" spans="1:22" x14ac:dyDescent="0.2">
      <c r="A30" t="s">
        <v>21</v>
      </c>
      <c r="B30" s="72">
        <f>+$R$9</f>
        <v>2</v>
      </c>
      <c r="C30">
        <v>1</v>
      </c>
      <c r="D30" t="s">
        <v>1986</v>
      </c>
    </row>
    <row r="31" spans="1:22" x14ac:dyDescent="0.2">
      <c r="A31" t="s">
        <v>191</v>
      </c>
      <c r="B31" s="72">
        <f>+$T$7</f>
        <v>0</v>
      </c>
      <c r="C31">
        <v>0</v>
      </c>
      <c r="D31" t="s">
        <v>1987</v>
      </c>
    </row>
    <row r="32" spans="1:22" x14ac:dyDescent="0.2">
      <c r="A32" t="s">
        <v>11</v>
      </c>
      <c r="B32" s="72">
        <f>+$P$10</f>
        <v>0</v>
      </c>
      <c r="C32">
        <v>0</v>
      </c>
      <c r="D32" t="s">
        <v>1987</v>
      </c>
    </row>
    <row r="33" spans="1:4" x14ac:dyDescent="0.2">
      <c r="A33" t="s">
        <v>33</v>
      </c>
      <c r="B33" s="72">
        <f>+$N$10</f>
        <v>0</v>
      </c>
      <c r="C33">
        <v>0</v>
      </c>
      <c r="D33" t="s">
        <v>1987</v>
      </c>
    </row>
    <row r="34" spans="1:4" x14ac:dyDescent="0.2">
      <c r="B34" s="72"/>
    </row>
  </sheetData>
  <mergeCells count="1">
    <mergeCell ref="B2:W2"/>
  </mergeCells>
  <phoneticPr fontId="21" type="noConversion"/>
  <conditionalFormatting sqref="B4:B10 C9:AL9">
    <cfRule type="colorScale" priority="11">
      <colorScale>
        <cfvo type="num" val="0"/>
        <cfvo type="num" val="1"/>
        <cfvo type="num" val="2"/>
        <color theme="9" tint="0.79998168889431442"/>
        <color theme="5" tint="0.79998168889431442"/>
        <color rgb="FFFF7E79"/>
      </colorScale>
    </cfRule>
  </conditionalFormatting>
  <conditionalFormatting sqref="D4:D6">
    <cfRule type="colorScale" priority="10">
      <colorScale>
        <cfvo type="num" val="0"/>
        <cfvo type="num" val="1"/>
        <cfvo type="num" val="2"/>
        <color theme="9" tint="0.79998168889431442"/>
        <color theme="5" tint="0.79998168889431442"/>
        <color rgb="FFFF7E79"/>
      </colorScale>
    </cfRule>
  </conditionalFormatting>
  <conditionalFormatting sqref="F4:F6">
    <cfRule type="colorScale" priority="9">
      <colorScale>
        <cfvo type="num" val="0"/>
        <cfvo type="num" val="1"/>
        <cfvo type="num" val="2"/>
        <color theme="9" tint="0.79998168889431442"/>
        <color theme="5" tint="0.79998168889431442"/>
        <color rgb="FFFF7E79"/>
      </colorScale>
    </cfRule>
  </conditionalFormatting>
  <conditionalFormatting sqref="G10">
    <cfRule type="containsText" priority="13" operator="containsText" text="Text">
      <formula>NOT(ISERROR(SEARCH("Text",G10)))</formula>
    </cfRule>
  </conditionalFormatting>
  <conditionalFormatting sqref="H4:H6">
    <cfRule type="colorScale" priority="8">
      <colorScale>
        <cfvo type="num" val="0"/>
        <cfvo type="num" val="1"/>
        <cfvo type="num" val="2"/>
        <color theme="9" tint="0.79998168889431442"/>
        <color theme="5" tint="0.79998168889431442"/>
        <color rgb="FFFF7E79"/>
      </colorScale>
    </cfRule>
  </conditionalFormatting>
  <conditionalFormatting sqref="J4:J6">
    <cfRule type="colorScale" priority="7">
      <colorScale>
        <cfvo type="num" val="0"/>
        <cfvo type="num" val="1"/>
        <cfvo type="num" val="2"/>
        <color theme="9" tint="0.79998168889431442"/>
        <color theme="5" tint="0.79998168889431442"/>
        <color rgb="FFFF7E79"/>
      </colorScale>
    </cfRule>
  </conditionalFormatting>
  <conditionalFormatting sqref="L4:L6">
    <cfRule type="colorScale" priority="6">
      <colorScale>
        <cfvo type="num" val="0"/>
        <cfvo type="num" val="1"/>
        <cfvo type="num" val="2"/>
        <color theme="9" tint="0.79998168889431442"/>
        <color theme="5" tint="0.79998168889431442"/>
        <color rgb="FFFF7E79"/>
      </colorScale>
    </cfRule>
  </conditionalFormatting>
  <conditionalFormatting sqref="N4:N6">
    <cfRule type="colorScale" priority="5">
      <colorScale>
        <cfvo type="num" val="0"/>
        <cfvo type="num" val="1"/>
        <cfvo type="num" val="2"/>
        <color theme="9" tint="0.79998168889431442"/>
        <color theme="5" tint="0.79998168889431442"/>
        <color rgb="FFFF7E79"/>
      </colorScale>
    </cfRule>
  </conditionalFormatting>
  <conditionalFormatting sqref="O15:O20">
    <cfRule type="colorScale" priority="12">
      <colorScale>
        <cfvo type="min"/>
        <cfvo type="num" val="1"/>
        <cfvo type="max"/>
        <color theme="9" tint="0.79998168889431442"/>
        <color theme="5" tint="0.79998168889431442"/>
        <color rgb="FFFF7E79"/>
      </colorScale>
    </cfRule>
  </conditionalFormatting>
  <conditionalFormatting sqref="P4:P6">
    <cfRule type="colorScale" priority="4">
      <colorScale>
        <cfvo type="num" val="0"/>
        <cfvo type="num" val="1"/>
        <cfvo type="num" val="2"/>
        <color theme="9" tint="0.79998168889431442"/>
        <color theme="5" tint="0.79998168889431442"/>
        <color rgb="FFFF7E79"/>
      </colorScale>
    </cfRule>
  </conditionalFormatting>
  <conditionalFormatting sqref="R4:R6">
    <cfRule type="colorScale" priority="3">
      <colorScale>
        <cfvo type="num" val="0"/>
        <cfvo type="num" val="1"/>
        <cfvo type="num" val="2"/>
        <color theme="9" tint="0.79998168889431442"/>
        <color theme="5" tint="0.79998168889431442"/>
        <color rgb="FFFF7E79"/>
      </colorScale>
    </cfRule>
  </conditionalFormatting>
  <conditionalFormatting sqref="T4:T6">
    <cfRule type="colorScale" priority="2">
      <colorScale>
        <cfvo type="num" val="0"/>
        <cfvo type="num" val="1"/>
        <cfvo type="num" val="2"/>
        <color theme="9" tint="0.79998168889431442"/>
        <color theme="5" tint="0.79998168889431442"/>
        <color rgb="FFFF7E79"/>
      </colorScale>
    </cfRule>
  </conditionalFormatting>
  <conditionalFormatting sqref="V4:V6">
    <cfRule type="colorScale" priority="1">
      <colorScale>
        <cfvo type="num" val="0"/>
        <cfvo type="num" val="1"/>
        <cfvo type="num" val="2"/>
        <color theme="9" tint="0.79998168889431442"/>
        <color theme="5" tint="0.79998168889431442"/>
        <color rgb="FFFF7E79"/>
      </colorScale>
    </cfRule>
  </conditionalFormatting>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6E16C-94D4-8944-9B0A-86988014906E}">
  <dimension ref="A1:W33"/>
  <sheetViews>
    <sheetView topLeftCell="A2" zoomScale="75" workbookViewId="0">
      <pane xSplit="1" topLeftCell="B1" activePane="topRight" state="frozen"/>
      <selection activeCell="A2" sqref="A2"/>
      <selection pane="topRight" activeCell="C26" sqref="C26"/>
    </sheetView>
  </sheetViews>
  <sheetFormatPr baseColWidth="10" defaultRowHeight="16" x14ac:dyDescent="0.2"/>
  <cols>
    <col min="1" max="1" width="26.6640625" customWidth="1"/>
    <col min="2" max="2" width="11.1640625" customWidth="1"/>
    <col min="3" max="3" width="108.83203125" customWidth="1"/>
    <col min="5" max="5" width="87.1640625" customWidth="1"/>
    <col min="7" max="7" width="76.33203125" customWidth="1"/>
    <col min="9" max="9" width="90" customWidth="1"/>
    <col min="11" max="11" width="65.33203125" customWidth="1"/>
    <col min="13" max="13" width="60.6640625" customWidth="1"/>
    <col min="15" max="15" width="65" customWidth="1"/>
    <col min="17" max="17" width="54.83203125" customWidth="1"/>
    <col min="19" max="19" width="99.83203125" customWidth="1"/>
    <col min="21" max="21" width="82" customWidth="1"/>
    <col min="23" max="23" width="92" customWidth="1"/>
  </cols>
  <sheetData>
    <row r="1" spans="1:23" ht="90" x14ac:dyDescent="0.2">
      <c r="A1" s="44" t="s">
        <v>1542</v>
      </c>
      <c r="B1" s="16" t="s">
        <v>1379</v>
      </c>
      <c r="C1" s="16" t="s">
        <v>1380</v>
      </c>
      <c r="D1" s="16" t="s">
        <v>1381</v>
      </c>
      <c r="E1" s="16" t="s">
        <v>1382</v>
      </c>
      <c r="F1" s="16" t="s">
        <v>1383</v>
      </c>
      <c r="G1" s="16" t="s">
        <v>1384</v>
      </c>
      <c r="H1" s="16" t="s">
        <v>1385</v>
      </c>
      <c r="I1" s="16" t="s">
        <v>1386</v>
      </c>
      <c r="J1" s="16" t="s">
        <v>1387</v>
      </c>
      <c r="K1" s="16" t="s">
        <v>1388</v>
      </c>
      <c r="L1" s="16" t="s">
        <v>1389</v>
      </c>
      <c r="M1" s="16" t="s">
        <v>1390</v>
      </c>
      <c r="N1" s="16" t="s">
        <v>1391</v>
      </c>
      <c r="O1" s="16" t="s">
        <v>1392</v>
      </c>
      <c r="P1" s="16" t="s">
        <v>1393</v>
      </c>
      <c r="Q1" s="16" t="s">
        <v>1394</v>
      </c>
      <c r="R1" s="16" t="s">
        <v>1395</v>
      </c>
      <c r="S1" s="16" t="s">
        <v>1396</v>
      </c>
      <c r="T1" s="16" t="s">
        <v>1397</v>
      </c>
      <c r="U1" s="16" t="s">
        <v>1398</v>
      </c>
      <c r="V1" s="16" t="s">
        <v>1399</v>
      </c>
      <c r="W1" s="16" t="s">
        <v>1400</v>
      </c>
    </row>
    <row r="2" spans="1:23" ht="221" customHeight="1" x14ac:dyDescent="0.2">
      <c r="A2" s="36" t="s">
        <v>1514</v>
      </c>
      <c r="B2" s="88" t="s">
        <v>1559</v>
      </c>
      <c r="C2" s="88"/>
      <c r="D2" s="88"/>
      <c r="E2" s="88"/>
      <c r="F2" s="88"/>
      <c r="G2" s="88"/>
      <c r="H2" s="88"/>
      <c r="I2" s="88"/>
      <c r="J2" s="88"/>
      <c r="K2" s="88"/>
      <c r="L2" s="88"/>
      <c r="M2" s="88"/>
      <c r="N2" s="88"/>
      <c r="O2" s="88"/>
      <c r="P2" s="88"/>
      <c r="Q2" s="88"/>
      <c r="R2" s="88"/>
      <c r="S2" s="88"/>
      <c r="T2" s="88"/>
      <c r="U2" s="88"/>
      <c r="V2" s="88"/>
      <c r="W2" s="88"/>
    </row>
    <row r="3" spans="1:23" ht="60" x14ac:dyDescent="0.2">
      <c r="A3" s="15"/>
      <c r="B3" s="16" t="s">
        <v>1379</v>
      </c>
      <c r="C3" s="16"/>
      <c r="D3" s="16" t="s">
        <v>1381</v>
      </c>
      <c r="E3" s="16" t="s">
        <v>1382</v>
      </c>
      <c r="F3" s="16" t="s">
        <v>1383</v>
      </c>
      <c r="G3" s="16" t="s">
        <v>1384</v>
      </c>
      <c r="H3" s="16" t="s">
        <v>1385</v>
      </c>
      <c r="I3" s="16" t="s">
        <v>1386</v>
      </c>
      <c r="J3" s="16" t="s">
        <v>1387</v>
      </c>
      <c r="K3" s="16" t="s">
        <v>1388</v>
      </c>
      <c r="L3" s="16" t="s">
        <v>1389</v>
      </c>
      <c r="M3" s="16" t="s">
        <v>1390</v>
      </c>
      <c r="N3" s="16" t="s">
        <v>1391</v>
      </c>
      <c r="O3" s="16" t="s">
        <v>1392</v>
      </c>
      <c r="P3" s="16" t="s">
        <v>1393</v>
      </c>
      <c r="Q3" s="16" t="s">
        <v>1394</v>
      </c>
      <c r="R3" s="16" t="s">
        <v>1395</v>
      </c>
      <c r="S3" s="16" t="s">
        <v>1396</v>
      </c>
      <c r="T3" s="16" t="s">
        <v>1397</v>
      </c>
      <c r="U3" s="16" t="s">
        <v>1398</v>
      </c>
      <c r="V3" s="16" t="s">
        <v>1399</v>
      </c>
      <c r="W3" s="16" t="s">
        <v>1400</v>
      </c>
    </row>
    <row r="4" spans="1:23" s="38" customFormat="1" ht="409" customHeight="1" x14ac:dyDescent="0.2">
      <c r="A4" s="37"/>
      <c r="B4" s="89">
        <v>2</v>
      </c>
      <c r="C4" s="49" t="s">
        <v>1551</v>
      </c>
      <c r="D4" s="89">
        <v>2</v>
      </c>
      <c r="E4" s="48" t="s">
        <v>1546</v>
      </c>
      <c r="F4" s="89">
        <v>2</v>
      </c>
      <c r="G4" s="48" t="s">
        <v>1547</v>
      </c>
      <c r="H4" s="89">
        <v>2</v>
      </c>
      <c r="I4" s="48" t="s">
        <v>1548</v>
      </c>
      <c r="J4" s="89">
        <v>2</v>
      </c>
      <c r="K4" s="49" t="s">
        <v>1549</v>
      </c>
      <c r="L4" s="92">
        <v>1</v>
      </c>
      <c r="M4" s="48" t="s">
        <v>1550</v>
      </c>
      <c r="N4" s="93">
        <v>0</v>
      </c>
      <c r="O4" s="43"/>
      <c r="P4" s="93">
        <v>0</v>
      </c>
      <c r="Q4" s="43"/>
      <c r="R4" s="92">
        <v>1</v>
      </c>
      <c r="S4" s="43" t="s">
        <v>1558</v>
      </c>
      <c r="T4" s="92">
        <v>0</v>
      </c>
      <c r="U4" s="43"/>
      <c r="V4" s="96">
        <v>0</v>
      </c>
      <c r="W4" s="43"/>
    </row>
    <row r="5" spans="1:23" s="38" customFormat="1" ht="300" customHeight="1" x14ac:dyDescent="0.2">
      <c r="A5" s="37"/>
      <c r="B5" s="90"/>
      <c r="C5" s="48" t="s">
        <v>1554</v>
      </c>
      <c r="D5" s="90"/>
      <c r="E5" s="48" t="s">
        <v>1556</v>
      </c>
      <c r="F5" s="90"/>
      <c r="G5" s="43" t="s">
        <v>1555</v>
      </c>
      <c r="H5" s="90"/>
      <c r="I5" s="48" t="s">
        <v>1552</v>
      </c>
      <c r="J5" s="90"/>
      <c r="K5" s="43" t="s">
        <v>1557</v>
      </c>
      <c r="L5" s="90"/>
      <c r="M5" s="43"/>
      <c r="N5" s="90"/>
      <c r="P5" s="94"/>
      <c r="R5" s="94"/>
      <c r="T5" s="94"/>
      <c r="V5" s="97"/>
      <c r="W5" s="43" t="s">
        <v>1560</v>
      </c>
    </row>
    <row r="6" spans="1:23" s="38" customFormat="1" ht="383" customHeight="1" x14ac:dyDescent="0.2">
      <c r="A6" s="37"/>
      <c r="B6" s="91"/>
      <c r="C6" s="43"/>
      <c r="D6" s="91"/>
      <c r="E6" s="43"/>
      <c r="F6" s="91"/>
      <c r="G6" s="43"/>
      <c r="H6" s="91"/>
      <c r="I6" s="43" t="s">
        <v>1553</v>
      </c>
      <c r="J6" s="91"/>
      <c r="K6" s="43"/>
      <c r="L6" s="91"/>
      <c r="M6" s="43"/>
      <c r="N6" s="91"/>
      <c r="P6" s="95"/>
      <c r="R6" s="95"/>
      <c r="T6" s="95"/>
      <c r="V6" s="98"/>
    </row>
    <row r="7" spans="1:23" s="38" customFormat="1" ht="13" x14ac:dyDescent="0.2">
      <c r="B7" s="65"/>
    </row>
    <row r="8" spans="1:23" s="38" customFormat="1" x14ac:dyDescent="0.2">
      <c r="A8" s="62"/>
      <c r="B8" s="66"/>
    </row>
    <row r="9" spans="1:23" s="38" customFormat="1" ht="14" x14ac:dyDescent="0.2">
      <c r="A9" s="67"/>
      <c r="B9" s="66"/>
      <c r="C9" s="68"/>
      <c r="D9" s="68"/>
      <c r="E9" s="68"/>
      <c r="F9" s="68"/>
      <c r="G9" s="68"/>
    </row>
    <row r="10" spans="1:23" s="38" customFormat="1" x14ac:dyDescent="0.2">
      <c r="A10" s="70" t="s">
        <v>1544</v>
      </c>
      <c r="B10" s="71" t="s">
        <v>1565</v>
      </c>
      <c r="C10" s="82" t="s">
        <v>1572</v>
      </c>
      <c r="D10" s="69"/>
      <c r="E10" s="69"/>
      <c r="F10" s="69"/>
      <c r="G10" s="69"/>
    </row>
    <row r="11" spans="1:23" s="38" customFormat="1" x14ac:dyDescent="0.2">
      <c r="A11" t="s">
        <v>118</v>
      </c>
      <c r="B11" s="83">
        <v>2</v>
      </c>
      <c r="C11" s="84" t="s">
        <v>1985</v>
      </c>
      <c r="D11" s="69"/>
      <c r="E11" s="69"/>
      <c r="F11" s="69"/>
      <c r="G11" s="69"/>
    </row>
    <row r="12" spans="1:23" s="38" customFormat="1" x14ac:dyDescent="0.2">
      <c r="A12" t="s">
        <v>7</v>
      </c>
      <c r="B12" s="83">
        <v>2</v>
      </c>
      <c r="C12" s="84" t="s">
        <v>1985</v>
      </c>
      <c r="D12" s="69"/>
      <c r="E12" s="69"/>
      <c r="F12" s="69"/>
      <c r="G12" s="69"/>
    </row>
    <row r="13" spans="1:23" s="38" customFormat="1" x14ac:dyDescent="0.2">
      <c r="A13" t="s">
        <v>16</v>
      </c>
      <c r="B13" s="83">
        <v>2</v>
      </c>
      <c r="C13" s="84" t="s">
        <v>1985</v>
      </c>
      <c r="D13" s="69"/>
      <c r="E13" s="69"/>
      <c r="F13" s="69"/>
      <c r="G13" s="69"/>
    </row>
    <row r="14" spans="1:23" s="38" customFormat="1" x14ac:dyDescent="0.2">
      <c r="A14" t="s">
        <v>42</v>
      </c>
      <c r="B14" s="83">
        <v>2</v>
      </c>
      <c r="C14" s="84" t="s">
        <v>1985</v>
      </c>
      <c r="D14" s="69"/>
      <c r="E14" s="69"/>
      <c r="F14" s="69"/>
      <c r="G14" s="69"/>
    </row>
    <row r="15" spans="1:23" s="38" customFormat="1" x14ac:dyDescent="0.2">
      <c r="A15" t="s">
        <v>18</v>
      </c>
      <c r="B15" s="83">
        <v>2</v>
      </c>
      <c r="C15" s="84" t="s">
        <v>1985</v>
      </c>
      <c r="D15" s="69"/>
      <c r="E15" s="69"/>
      <c r="F15" s="69"/>
      <c r="G15" s="69"/>
    </row>
    <row r="16" spans="1:23" s="38" customFormat="1" x14ac:dyDescent="0.2">
      <c r="A16" t="s">
        <v>21</v>
      </c>
      <c r="B16" s="85">
        <v>1</v>
      </c>
      <c r="C16" s="84" t="s">
        <v>1986</v>
      </c>
      <c r="D16" s="69"/>
      <c r="E16" s="69"/>
      <c r="F16" s="69"/>
      <c r="G16" s="69"/>
    </row>
    <row r="17" spans="1:22" s="38" customFormat="1" x14ac:dyDescent="0.2">
      <c r="A17" t="s">
        <v>25</v>
      </c>
      <c r="B17" s="85">
        <v>1</v>
      </c>
      <c r="C17" s="84" t="s">
        <v>1986</v>
      </c>
      <c r="D17" s="69"/>
      <c r="E17" s="69"/>
      <c r="F17" s="69"/>
      <c r="G17" s="69"/>
    </row>
    <row r="18" spans="1:22" s="38" customFormat="1" x14ac:dyDescent="0.2">
      <c r="A18" t="s">
        <v>191</v>
      </c>
      <c r="B18" s="86">
        <v>0</v>
      </c>
      <c r="C18" s="84" t="s">
        <v>1987</v>
      </c>
      <c r="D18" s="69"/>
      <c r="E18" s="69"/>
      <c r="F18" s="69"/>
      <c r="G18" s="69"/>
    </row>
    <row r="19" spans="1:22" s="38" customFormat="1" x14ac:dyDescent="0.2">
      <c r="A19" t="s">
        <v>188</v>
      </c>
      <c r="B19" s="86">
        <v>0</v>
      </c>
      <c r="C19" s="84" t="s">
        <v>1987</v>
      </c>
      <c r="D19" s="69"/>
      <c r="E19" s="69"/>
      <c r="F19" s="69"/>
      <c r="G19" s="69"/>
    </row>
    <row r="20" spans="1:22" s="38" customFormat="1" x14ac:dyDescent="0.2">
      <c r="A20" t="s">
        <v>11</v>
      </c>
      <c r="B20" s="87">
        <v>0</v>
      </c>
      <c r="C20" s="84" t="s">
        <v>1987</v>
      </c>
      <c r="D20" s="69"/>
      <c r="E20" s="69"/>
      <c r="F20" s="69"/>
      <c r="G20" s="69"/>
    </row>
    <row r="21" spans="1:22" s="38" customFormat="1" x14ac:dyDescent="0.2">
      <c r="A21" t="s">
        <v>33</v>
      </c>
      <c r="B21" s="87">
        <v>0</v>
      </c>
      <c r="C21" s="84" t="s">
        <v>1987</v>
      </c>
    </row>
    <row r="22" spans="1:22" s="38" customFormat="1" ht="13" x14ac:dyDescent="0.2"/>
    <row r="23" spans="1:22" s="38" customFormat="1" ht="13" x14ac:dyDescent="0.2">
      <c r="B23" s="7"/>
    </row>
    <row r="24" spans="1:22" s="38" customFormat="1" ht="13" x14ac:dyDescent="0.2"/>
    <row r="25" spans="1:22" s="38" customFormat="1" ht="13" x14ac:dyDescent="0.2"/>
    <row r="26" spans="1:22" s="38" customFormat="1" ht="13" x14ac:dyDescent="0.2"/>
    <row r="27" spans="1:22" s="38" customFormat="1" ht="13" x14ac:dyDescent="0.2"/>
    <row r="28" spans="1:22" s="50" customFormat="1" ht="13" x14ac:dyDescent="0.2">
      <c r="G28" s="51"/>
      <c r="O28" s="52"/>
    </row>
    <row r="29" spans="1:22" s="53" customFormat="1" x14ac:dyDescent="0.2">
      <c r="B29" s="54"/>
      <c r="D29" s="55"/>
      <c r="F29" s="54"/>
      <c r="G29" s="56"/>
      <c r="H29" s="57"/>
      <c r="J29" s="54"/>
      <c r="L29" s="54"/>
      <c r="N29" s="54"/>
      <c r="O29" s="58"/>
      <c r="P29" s="54"/>
      <c r="R29" s="54"/>
      <c r="T29" s="54"/>
      <c r="V29" s="54"/>
    </row>
    <row r="30" spans="1:22" s="53" customFormat="1" x14ac:dyDescent="0.2">
      <c r="B30" s="54"/>
      <c r="D30" s="55"/>
      <c r="F30" s="54"/>
      <c r="G30" s="56"/>
      <c r="H30" s="59"/>
      <c r="J30" s="54"/>
      <c r="L30" s="54"/>
      <c r="N30" s="54"/>
      <c r="O30" s="60"/>
      <c r="P30" s="54"/>
      <c r="R30" s="54"/>
      <c r="T30" s="54"/>
      <c r="V30" s="54"/>
    </row>
    <row r="31" spans="1:22" s="53" customFormat="1" x14ac:dyDescent="0.2">
      <c r="B31" s="54"/>
      <c r="D31" s="55"/>
      <c r="F31" s="54"/>
      <c r="G31" s="56"/>
      <c r="H31" s="59"/>
      <c r="J31" s="54"/>
      <c r="L31" s="54"/>
      <c r="N31" s="54"/>
      <c r="O31" s="60"/>
      <c r="P31" s="54"/>
      <c r="R31" s="54"/>
      <c r="T31" s="54"/>
      <c r="V31" s="54"/>
    </row>
    <row r="32" spans="1:22" s="53" customFormat="1" x14ac:dyDescent="0.2">
      <c r="G32" s="56"/>
      <c r="H32" s="59"/>
      <c r="O32" s="60"/>
    </row>
    <row r="33" spans="2:22" s="53" customFormat="1" x14ac:dyDescent="0.2">
      <c r="B33" s="55"/>
      <c r="D33" s="55"/>
      <c r="F33" s="55"/>
      <c r="G33" s="56"/>
      <c r="H33" s="61"/>
      <c r="J33" s="55"/>
      <c r="L33" s="55"/>
      <c r="N33" s="55"/>
      <c r="O33" s="60"/>
      <c r="P33" s="55"/>
      <c r="R33" s="55"/>
      <c r="T33" s="55"/>
      <c r="V33" s="55"/>
    </row>
  </sheetData>
  <mergeCells count="12">
    <mergeCell ref="B2:W2"/>
    <mergeCell ref="B4:B6"/>
    <mergeCell ref="D4:D6"/>
    <mergeCell ref="F4:F6"/>
    <mergeCell ref="H4:H6"/>
    <mergeCell ref="J4:J6"/>
    <mergeCell ref="L4:L6"/>
    <mergeCell ref="N4:N6"/>
    <mergeCell ref="P4:P6"/>
    <mergeCell ref="R4:R6"/>
    <mergeCell ref="T4:T6"/>
    <mergeCell ref="V4:V6"/>
  </mergeCells>
  <conditionalFormatting sqref="B7:B10 B4 B23">
    <cfRule type="colorScale" priority="11">
      <colorScale>
        <cfvo type="num" val="0"/>
        <cfvo type="num" val="1"/>
        <cfvo type="num" val="2"/>
        <color theme="9" tint="0.79998168889431442"/>
        <color theme="5" tint="0.79998168889431442"/>
        <color rgb="FFFF7E79"/>
      </colorScale>
    </cfRule>
  </conditionalFormatting>
  <conditionalFormatting sqref="D4">
    <cfRule type="colorScale" priority="10">
      <colorScale>
        <cfvo type="num" val="0"/>
        <cfvo type="num" val="1"/>
        <cfvo type="num" val="2"/>
        <color theme="9" tint="0.79998168889431442"/>
        <color theme="5" tint="0.79998168889431442"/>
        <color rgb="FFFF7E79"/>
      </colorScale>
    </cfRule>
  </conditionalFormatting>
  <conditionalFormatting sqref="F4">
    <cfRule type="colorScale" priority="9">
      <colorScale>
        <cfvo type="num" val="0"/>
        <cfvo type="num" val="1"/>
        <cfvo type="num" val="2"/>
        <color theme="9" tint="0.79998168889431442"/>
        <color theme="5" tint="0.79998168889431442"/>
        <color rgb="FFFF7E79"/>
      </colorScale>
    </cfRule>
  </conditionalFormatting>
  <conditionalFormatting sqref="G10:G20">
    <cfRule type="containsText" priority="13" operator="containsText" text="Text">
      <formula>NOT(ISERROR(SEARCH("Text",G10)))</formula>
    </cfRule>
  </conditionalFormatting>
  <conditionalFormatting sqref="H4">
    <cfRule type="colorScale" priority="8">
      <colorScale>
        <cfvo type="num" val="0"/>
        <cfvo type="num" val="1"/>
        <cfvo type="num" val="2"/>
        <color theme="9" tint="0.79998168889431442"/>
        <color theme="5" tint="0.79998168889431442"/>
        <color rgb="FFFF7E79"/>
      </colorScale>
    </cfRule>
  </conditionalFormatting>
  <conditionalFormatting sqref="J4">
    <cfRule type="colorScale" priority="7">
      <colorScale>
        <cfvo type="num" val="0"/>
        <cfvo type="num" val="1"/>
        <cfvo type="num" val="2"/>
        <color theme="9" tint="0.79998168889431442"/>
        <color theme="5" tint="0.79998168889431442"/>
        <color rgb="FFFF7E79"/>
      </colorScale>
    </cfRule>
  </conditionalFormatting>
  <conditionalFormatting sqref="L4">
    <cfRule type="colorScale" priority="6">
      <colorScale>
        <cfvo type="num" val="0"/>
        <cfvo type="num" val="1"/>
        <cfvo type="num" val="2"/>
        <color theme="9" tint="0.79998168889431442"/>
        <color theme="5" tint="0.79998168889431442"/>
        <color rgb="FFFF7E79"/>
      </colorScale>
    </cfRule>
  </conditionalFormatting>
  <conditionalFormatting sqref="N4">
    <cfRule type="colorScale" priority="5">
      <colorScale>
        <cfvo type="num" val="0"/>
        <cfvo type="num" val="1"/>
        <cfvo type="num" val="2"/>
        <color theme="9" tint="0.79998168889431442"/>
        <color theme="5" tint="0.79998168889431442"/>
        <color rgb="FFFF7E79"/>
      </colorScale>
    </cfRule>
  </conditionalFormatting>
  <conditionalFormatting sqref="O28:O33">
    <cfRule type="colorScale" priority="12">
      <colorScale>
        <cfvo type="min"/>
        <cfvo type="num" val="1"/>
        <cfvo type="max"/>
        <color theme="9" tint="0.79998168889431442"/>
        <color theme="5" tint="0.79998168889431442"/>
        <color rgb="FFFF7E79"/>
      </colorScale>
    </cfRule>
  </conditionalFormatting>
  <conditionalFormatting sqref="P4">
    <cfRule type="colorScale" priority="4">
      <colorScale>
        <cfvo type="num" val="0"/>
        <cfvo type="num" val="1"/>
        <cfvo type="num" val="2"/>
        <color theme="9" tint="0.79998168889431442"/>
        <color theme="5" tint="0.79998168889431442"/>
        <color rgb="FFFF7E79"/>
      </colorScale>
    </cfRule>
  </conditionalFormatting>
  <conditionalFormatting sqref="R4">
    <cfRule type="colorScale" priority="3">
      <colorScale>
        <cfvo type="num" val="0"/>
        <cfvo type="num" val="1"/>
        <cfvo type="num" val="2"/>
        <color theme="9" tint="0.79998168889431442"/>
        <color theme="5" tint="0.79998168889431442"/>
        <color rgb="FFFF7E79"/>
      </colorScale>
    </cfRule>
  </conditionalFormatting>
  <conditionalFormatting sqref="T4">
    <cfRule type="colorScale" priority="2">
      <colorScale>
        <cfvo type="num" val="0"/>
        <cfvo type="num" val="1"/>
        <cfvo type="num" val="2"/>
        <color theme="9" tint="0.79998168889431442"/>
        <color theme="5" tint="0.79998168889431442"/>
        <color rgb="FFFF7E79"/>
      </colorScale>
    </cfRule>
  </conditionalFormatting>
  <conditionalFormatting sqref="V4">
    <cfRule type="colorScale" priority="1">
      <colorScale>
        <cfvo type="num" val="0"/>
        <cfvo type="num" val="1"/>
        <cfvo type="num" val="2"/>
        <color theme="9" tint="0.79998168889431442"/>
        <color theme="5" tint="0.79998168889431442"/>
        <color rgb="FFFF7E79"/>
      </colorScale>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Firms</vt:lpstr>
      <vt:lpstr>Definitions</vt:lpstr>
      <vt:lpstr>EU Sanctions Classification</vt:lpstr>
      <vt:lpstr>US Sanction Classification </vt:lpstr>
      <vt:lpstr>UK Sanction Classification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Maximilian Freudenthaler</dc:creator>
  <cp:lastModifiedBy>Eric Maximilian Freudenthaler</cp:lastModifiedBy>
  <dcterms:created xsi:type="dcterms:W3CDTF">2026-04-17T11:33:31Z</dcterms:created>
  <dcterms:modified xsi:type="dcterms:W3CDTF">2026-06-03T08:42:15Z</dcterms:modified>
</cp:coreProperties>
</file>